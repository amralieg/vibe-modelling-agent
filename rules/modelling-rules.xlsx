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Plan" sheetId="1" r:id="rId5"/>
    <sheet state="visible" name="Active Industry Models" sheetId="2" r:id="rId6"/>
    <sheet state="hidden" name="Active Vibe Models" sheetId="3" r:id="rId7"/>
    <sheet state="visible" name="Active Vibe Models Enriched" sheetId="4" r:id="rId8"/>
    <sheet state="visible" name="Notes" sheetId="5" r:id="rId9"/>
    <sheet state="visible" name="Advisor Teams" sheetId="6" r:id="rId10"/>
    <sheet state="visible" name="Industries" sheetId="7" r:id="rId11"/>
    <sheet state="visible" name="Core Team" sheetId="8" r:id="rId12"/>
    <sheet state="visible" name="Sheet6" sheetId="9" r:id="rId13"/>
    <sheet state="visible" name="HLS" sheetId="10" r:id="rId14"/>
    <sheet state="visible" name="Media" sheetId="11" r:id="rId15"/>
    <sheet state="visible" name="Energy &amp; Oil and Gas" sheetId="12" r:id="rId16"/>
    <sheet state="visible" name="Retail" sheetId="13" r:id="rId17"/>
    <sheet state="visible" name="Lakehouse Data Models" sheetId="14" r:id="rId18"/>
  </sheets>
  <definedNames>
    <definedName hidden="1" localSheetId="1" name="_xlnm._FilterDatabase">'Active Industry Models'!$B$1:$O$49</definedName>
    <definedName hidden="1" localSheetId="3" name="_xlnm._FilterDatabase">'Active Vibe Models Enriched'!$A$1:$J$40</definedName>
    <definedName hidden="1" localSheetId="5" name="_xlnm._FilterDatabase">'Advisor Teams'!$A$1:$Z$35</definedName>
    <definedName hidden="1" localSheetId="6" name="_xlnm._FilterDatabase">Industries!$B$1:$T$48</definedName>
    <definedName hidden="1" localSheetId="7" name="_xlnm._FilterDatabase">'Core Team'!$A$1:$F$17</definedName>
    <definedName hidden="1" localSheetId="8" name="_xlnm._FilterDatabase">Sheet6!$A$1:$C$43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tc={5757f7a4-9fda-49e1-84f7-fdff35426ebd}</author>
    <author>tc={f6760678-b59c-4049-9e5f-f6fc08e0dc93}</author>
  </authors>
  <commentList>
    <comment authorId="0" xr:uid="{5757f7a4-9fda-49e1-84f7-fdff35426ebd}" ref="I2">
      <text>
        <t xml:space="preserve">[Threaded comment]
 Your version of Excel allows you to read this threaded comment; however, any edits to it will get removed if the file is opened in a newer version of Excel. Learn more: https://go.microsoft.com/fwlink/?linkid=870924
Comment:
	hi @leo.mao@databricks.com would you mind updating the notes / status of this?
Assigned to leo.mao@databricks.com
</t>
      </text>
    </comment>
    <comment authorId="1" xr:uid="{f6760678-b59c-4049-9e5f-f6fc08e0dc93}" ref="D7">
      <text>
        <t xml:space="preserve">[Threaded comment]
 Your version of Excel allows you to read this threaded comment; however, any edits to it will get removed if the file is opened in a newer version of Excel. Learn more: https://go.microsoft.com/fwlink/?linkid=870924
Comment:
	@franco.patano@databricks.com Shelley and I want to ensure you'd be okay making this considering it would be 8 AM your time.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tc={d13fde02-d42e-456e-b659-3c6707ef6e1d}</author>
  </authors>
  <commentList>
    <comment authorId="0" xr:uid="{d13fde02-d42e-456e-b659-3c6707ef6e1d}" ref="B30">
      <text>
        <t xml:space="preserve">[Threaded comment]
 Your version of Excel allows you to read this threaded comment; however, any edits to it will get removed if the file is opened in a newer version of Excel. Learn more: https://go.microsoft.com/fwlink/?linkid=870924
Comment:
	@chris.crawford@databricks.com I've added you to the sheet.
Assigned to chris.crawford@databricks.com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tc={1d198c86-305e-4796-91fd-253c4a114dfd}</author>
    <author>tc={2acf6934-2aa0-4d04-a402-f3f32443895a}</author>
    <author>tc={77874d89-3c65-4e1e-ad5b-90f1aa6fa686}</author>
    <author>tc={a9b419cd-db0a-47c6-9c9a-9ebd780c21f4}</author>
    <author>tc={c318a6cb-9686-4ad1-9ab3-a449d78f8b03}</author>
    <author>tc={f9b20bcf-0bfb-4a2d-b7e2-4ea20ac2b6f6}</author>
  </authors>
  <commentList>
    <comment authorId="0" xr:uid="{1d198c86-305e-4796-91fd-253c4a114dfd}" ref="L23">
      <text>
        <t xml:space="preserve">[Threaded comment]
 Your version of Excel allows you to read this threaded comment; however, any edits to it will get removed if the file is opened in a newer version of Excel. Learn more: https://go.microsoft.com/fwlink/?linkid=870924
Comment:
	Needs to be confirmed
</t>
      </text>
    </comment>
    <comment authorId="1" xr:uid="{2acf6934-2aa0-4d04-a402-f3f32443895a}" ref="L3">
      <text>
        <t xml:space="preserve">[Threaded comment]
 Your version of Excel allows you to read this threaded comment; however, any edits to it will get removed if the file is opened in a newer version of Excel. Learn more: https://go.microsoft.com/fwlink/?linkid=870924
Comment:
	Needs to be confirmed
</t>
      </text>
    </comment>
    <comment authorId="2" xr:uid="{77874d89-3c65-4e1e-ad5b-90f1aa6fa686}" ref="L13">
      <text>
        <t xml:space="preserve">[Threaded comment]
 Your version of Excel allows you to read this threaded comment; however, any edits to it will get removed if the file is opened in a newer version of Excel. Learn more: https://go.microsoft.com/fwlink/?linkid=870924
Comment:
	Needs to be confirmed
</t>
      </text>
    </comment>
    <comment authorId="3" xr:uid="{a9b419cd-db0a-47c6-9c9a-9ebd780c21f4}" ref="B22">
      <text>
        <t xml:space="preserve">[Threaded comment]
 Your version of Excel allows you to read this threaded comment; however, any edits to it will get removed if the file is opened in a newer version of Excel. Learn more: https://go.microsoft.com/fwlink/?linkid=870924
Comment:
	@bryan.smith@databricks.com @roberto.robles@databricks.com   Can you please review the RCG models?  Is there anything missing?  What is the priority for RCG?
Reply:
	I don't have any basis to say these are good or bad.  I'd say start with this and get some customer feedback.
Reply:
	@shelley.shaffery@databricks.com  added crip data model
</t>
      </text>
    </comment>
    <comment authorId="4" xr:uid="{c318a6cb-9686-4ad1-9ab3-a449d78f8b03}" ref="L12">
      <text>
        <t xml:space="preserve">[Threaded comment]
 Your version of Excel allows you to read this threaded comment; however, any edits to it will get removed if the file is opened in a newer version of Excel. Learn more: https://go.microsoft.com/fwlink/?linkid=870924
Comment:
	Needs to be confirmed
</t>
      </text>
    </comment>
    <comment authorId="5" xr:uid="{f9b20bcf-0bfb-4a2d-b7e2-4ea20ac2b6f6}" ref="L14">
      <text>
        <t xml:space="preserve">[Threaded comment]
 Your version of Excel allows you to read this threaded comment; however, any edits to it will get removed if the file is opened in a newer version of Excel. Learn more: https://go.microsoft.com/fwlink/?linkid=870924
Comment:
	Needs to be confirmed
</t>
      </text>
    </comment>
  </commentList>
</comments>
</file>

<file path=xl/sharedStrings.xml><?xml version="1.0" encoding="utf-8"?>
<sst xmlns="http://schemas.openxmlformats.org/spreadsheetml/2006/main" count="1788" uniqueCount="842">
  <si>
    <t>Phase</t>
  </si>
  <si>
    <t>Task</t>
  </si>
  <si>
    <t>Description</t>
  </si>
  <si>
    <t>Outstanding Questions</t>
  </si>
  <si>
    <t>Owner</t>
  </si>
  <si>
    <t>Date Due</t>
  </si>
  <si>
    <t>Status</t>
  </si>
  <si>
    <t>Asset Link</t>
  </si>
  <si>
    <t>Notes</t>
  </si>
  <si>
    <t>Pre-Kick Off</t>
  </si>
  <si>
    <t>Git Repo Creation</t>
  </si>
  <si>
    <t>Need a git repo where teams will be able to store their model assets.</t>
  </si>
  <si>
    <t>Are there any limitations?</t>
  </si>
  <si>
    <t>Leo Mao</t>
  </si>
  <si>
    <t>Completed</t>
  </si>
  <si>
    <t>Agreement on Template</t>
  </si>
  <si>
    <t>Need a general consensus of what teams will be building.</t>
  </si>
  <si>
    <t>Amr Ali Romina Kirchmaier Shelley Shaffery</t>
  </si>
  <si>
    <t>We'll be using Amr's excel template: pfizer_v2.0.xlsx</t>
  </si>
  <si>
    <t>Pre-Kick Off Meeting</t>
  </si>
  <si>
    <t>Preparing for the KO - 
Discuss the Recording of Assets</t>
  </si>
  <si>
    <t>Amr Ali Shelley Shaffery Franco Patano Romina Kirchmaier</t>
  </si>
  <si>
    <t>Finalization of Template</t>
  </si>
  <si>
    <t>We have picked Amr's excel file as the expected output for the teams. Once this is complete, we will need a Google Drive link with the template &amp; readme.</t>
  </si>
  <si>
    <t>Amr Ali</t>
  </si>
  <si>
    <t>Not Started</t>
  </si>
  <si>
    <t>FE Data Model Share Drive: Google Drive Link where assets should go</t>
  </si>
  <si>
    <t>Recording/Creation of Assets</t>
  </si>
  <si>
    <r>
      <rPr/>
      <t xml:space="preserve">Assets:
- Blank Excel Template 
- README for the Excel Template (the </t>
    </r>
    <r>
      <rPr>
        <color rgb="FF1155CC"/>
        <u/>
      </rPr>
      <t>Rule Dictionary</t>
    </r>
    <r>
      <rPr/>
      <t>, object hierarchies, a general Easy Start guide)
- Amr to create video for Template
Lee:
How the Git Repo works (structure, naming conventions, etc)</t>
    </r>
  </si>
  <si>
    <t>Kick Off</t>
  </si>
  <si>
    <t>Kick Off Session (60 mins)</t>
  </si>
  <si>
    <t>Builder Mandatory, Advisors Optional
Agenda:
- Franco to Kick Off
- Ensure &amp; finalize builder assignment
- GHEC Login requirement for github
- Communicate expectations and deadlines
- Present Template 
Will need to record it so that we can send out to other teams.</t>
  </si>
  <si>
    <t>This would be an 9 am ET session on Feb 10th, we need to ensure key parties would be able to join.</t>
  </si>
  <si>
    <t>Amr Ali Romina Kirchmaier Shelley Shaffery Franco Patano</t>
  </si>
  <si>
    <t>Post Kick Off</t>
  </si>
  <si>
    <t>Builders to finish Excel Input</t>
  </si>
  <si>
    <t xml:space="preserve">Builders will fully fill out the excel files. </t>
  </si>
  <si>
    <t>Romina Kirchmaier Shelley Shaffery</t>
  </si>
  <si>
    <t>Builders to get Github Login (if not exists already)</t>
  </si>
  <si>
    <t>In order for builders to have autonomy of their own files, they will need to have a GHEC login for github.</t>
  </si>
  <si>
    <t>Documentation on Asset Generataion</t>
  </si>
  <si>
    <t xml:space="preserve">README on how to use asset generation script. This README and an example will also need to be hosted inside Google Drive. </t>
  </si>
  <si>
    <t>Git README</t>
  </si>
  <si>
    <t>An overview or document around how to structure the Git repo for consistency.</t>
  </si>
  <si>
    <t>How-to Session on Asset Generation</t>
  </si>
  <si>
    <t xml:space="preserve">This will be a recorded session led by Amr to teach the builders how to use the asset generation script &amp; how the Git repo should be organized. </t>
  </si>
  <si>
    <t>Troubleshooting Period</t>
  </si>
  <si>
    <t>Buffer time to ensure troubleshooting with asset generation.</t>
  </si>
  <si>
    <t>v0 Asset Complete</t>
  </si>
  <si>
    <t xml:space="preserve"> </t>
  </si>
  <si>
    <t>Working Model?</t>
  </si>
  <si>
    <t>GTM BU</t>
  </si>
  <si>
    <t xml:space="preserve">Industry </t>
  </si>
  <si>
    <t>Existing Industry Model / Dataset</t>
  </si>
  <si>
    <t>Industry v. Data Model</t>
  </si>
  <si>
    <t>Owner / Creator</t>
  </si>
  <si>
    <t>Documentation / Link</t>
  </si>
  <si>
    <t>Advisor</t>
  </si>
  <si>
    <t>Builder</t>
  </si>
  <si>
    <t>Peer Review</t>
  </si>
  <si>
    <t>Repo</t>
  </si>
  <si>
    <t>Documentation</t>
  </si>
  <si>
    <t>Marketing Announcement</t>
  </si>
  <si>
    <t>Released</t>
  </si>
  <si>
    <t>Banking</t>
  </si>
  <si>
    <t xml:space="preserve">Financial Services </t>
  </si>
  <si>
    <t>Investments</t>
  </si>
  <si>
    <t>XBRL (eXtensible Business Reporting Language)</t>
  </si>
  <si>
    <t>Data Model</t>
  </si>
  <si>
    <t>xBRL.us</t>
  </si>
  <si>
    <t>xBRL</t>
  </si>
  <si>
    <t>Financial Industry Business Data Model (FIB-DM)</t>
  </si>
  <si>
    <t>Jayzed Data Models Inc.</t>
  </si>
  <si>
    <r>
      <rPr>
        <rFont val="Arial,sans-serif"/>
        <color rgb="FF1155CC"/>
        <sz val="11.0"/>
        <u/>
      </rPr>
      <t>FIB-DM</t>
    </r>
  </si>
  <si>
    <t>Insurance</t>
  </si>
  <si>
    <t>Health Insurance Exchange PUFs</t>
  </si>
  <si>
    <t>Dataset</t>
  </si>
  <si>
    <t>CMS (Centers for Medicare &amp; Medicaid Services)</t>
  </si>
  <si>
    <r>
      <rPr>
        <rFont val="Arial,sans-serif"/>
        <color rgb="FF1155CC"/>
        <sz val="11.0"/>
        <u/>
      </rPr>
      <t>CMS Exchange PUFs</t>
    </r>
  </si>
  <si>
    <t>Payments</t>
  </si>
  <si>
    <t>Federal Reserve Payments Study (FRPS) datasets</t>
  </si>
  <si>
    <t>Federal Reserve</t>
  </si>
  <si>
    <r>
      <rPr>
        <rFont val="Arial,sans-serif"/>
        <color rgb="FF1155CC"/>
        <sz val="11.0"/>
        <u/>
      </rPr>
      <t>FRPS Data</t>
    </r>
  </si>
  <si>
    <t>Capital Markets</t>
  </si>
  <si>
    <t>SEC Data Library</t>
  </si>
  <si>
    <t>U.S. Securities and Exchange Commission</t>
  </si>
  <si>
    <r>
      <rPr>
        <rFont val="Arial,sans-serif"/>
        <color rgb="FF1155CC"/>
        <sz val="11.0"/>
        <u/>
      </rPr>
      <t>SEC Data</t>
    </r>
  </si>
  <si>
    <t>Medical Devices</t>
  </si>
  <si>
    <t>Yes</t>
  </si>
  <si>
    <t xml:space="preserve">Healthcare and Life Sciences </t>
  </si>
  <si>
    <t>Electronic Health Records</t>
  </si>
  <si>
    <t>FHIR</t>
  </si>
  <si>
    <r>
      <rPr>
        <rFont val="Arial,sans-serif"/>
        <strike/>
        <color rgb="FF000000"/>
        <sz val="11.0"/>
      </rPr>
      <t>MITRE</t>
    </r>
    <r>
      <rPr>
        <rFont val="Arial,sans-serif"/>
        <color rgb="FF000000"/>
        <sz val="11.0"/>
      </rPr>
      <t xml:space="preserve"> HL7 </t>
    </r>
  </si>
  <si>
    <t>HL7 FHIR</t>
  </si>
  <si>
    <t>Amir Kermany</t>
  </si>
  <si>
    <t>Medical Outcomes</t>
  </si>
  <si>
    <t>OMOP</t>
  </si>
  <si>
    <t>Observational Health Data Sciences and Informatics</t>
  </si>
  <si>
    <t>OHDSI</t>
  </si>
  <si>
    <t xml:space="preserve">Medical Study </t>
  </si>
  <si>
    <t>SDTM (bronze)</t>
  </si>
  <si>
    <t>CDISC</t>
  </si>
  <si>
    <t>cdisc</t>
  </si>
  <si>
    <t>Claims Data</t>
  </si>
  <si>
    <t>EDI</t>
  </si>
  <si>
    <t>PilotFish</t>
  </si>
  <si>
    <t>Clinical Trial Model for Review (required by FDA and PMDA)</t>
  </si>
  <si>
    <t>ADaM (gold)</t>
  </si>
  <si>
    <t>cdisc adam</t>
  </si>
  <si>
    <t>FDA AI-Enabled Medical Devices List</t>
  </si>
  <si>
    <t>U.S. Food and Drug Administration</t>
  </si>
  <si>
    <r>
      <rPr>
        <rFont val="Arial,sans-serif"/>
        <color rgb="FF1155CC"/>
        <sz val="11.0"/>
        <u/>
      </rPr>
      <t>FDA AI Devices</t>
    </r>
  </si>
  <si>
    <t>Tony Farias</t>
  </si>
  <si>
    <t>Healthcare</t>
  </si>
  <si>
    <t>HealthData.gov datasets</t>
  </si>
  <si>
    <t>HHS (U.S. Department of Health &amp; Human Services)</t>
  </si>
  <si>
    <r>
      <rPr>
        <rFont val="Arial,sans-serif"/>
        <color rgb="FF1155CC"/>
        <sz val="11.0"/>
        <u/>
      </rPr>
      <t>HealthData.gov</t>
    </r>
  </si>
  <si>
    <t xml:space="preserve">BioPharma/Pharmaceuticals </t>
  </si>
  <si>
    <t>ADRM Pharmaceutical Data Model</t>
  </si>
  <si>
    <t>ADRM Software</t>
  </si>
  <si>
    <r>
      <rPr>
        <rFont val="Arial,sans-serif"/>
        <color rgb="FF1155CC"/>
        <sz val="11.0"/>
        <u/>
      </rPr>
      <t>ADRM Pharma</t>
    </r>
  </si>
  <si>
    <t>Advertising</t>
  </si>
  <si>
    <t xml:space="preserve">Media, Entertainment &amp; Communications </t>
  </si>
  <si>
    <t>Advertising Data Datasets</t>
  </si>
  <si>
    <t>Multiple providers via Datarade</t>
  </si>
  <si>
    <r>
      <rPr>
        <rFont val="Arial,sans-serif"/>
        <color rgb="FF1155CC"/>
        <sz val="11.0"/>
        <u/>
      </rPr>
      <t>Advertising Data</t>
    </r>
  </si>
  <si>
    <t>Gaming</t>
  </si>
  <si>
    <t>Awesome Game Datasets</t>
  </si>
  <si>
    <t>Community-curated (GitHub)</t>
  </si>
  <si>
    <r>
      <rPr>
        <rFont val="Arial,sans-serif"/>
        <color rgb="FF1155CC"/>
        <sz val="11.0"/>
        <u/>
      </rPr>
      <t>Game Datasets</t>
    </r>
  </si>
  <si>
    <t>Broadcasting</t>
  </si>
  <si>
    <t>FCC Media Bureau Public Databases</t>
  </si>
  <si>
    <t>Federal Communications Commission</t>
  </si>
  <si>
    <r>
      <rPr>
        <rFont val="Arial,sans-serif"/>
        <color rgb="FF1155CC"/>
        <sz val="11.0"/>
        <u/>
      </rPr>
      <t>FCC Media</t>
    </r>
  </si>
  <si>
    <t>Digital Media</t>
  </si>
  <si>
    <t>MediaWell Dataset Library</t>
  </si>
  <si>
    <t>Social Science Research Council (SSRC)</t>
  </si>
  <si>
    <r>
      <rPr>
        <rFont val="Arial,sans-serif"/>
        <color rgb="FF1155CC"/>
        <sz val="11.0"/>
        <u/>
      </rPr>
      <t>MediaWell</t>
    </r>
  </si>
  <si>
    <t>Telco</t>
  </si>
  <si>
    <t>TM Forum Shared Information/Data Model (SID)</t>
  </si>
  <si>
    <t>TM Forum</t>
  </si>
  <si>
    <r>
      <rPr>
        <rFont val="Arial,sans-serif"/>
        <color rgb="FF1155CC"/>
        <sz val="11.0"/>
        <u/>
      </rPr>
      <t>TM Forum SID</t>
    </r>
  </si>
  <si>
    <t>Osama Mansour &amp; Stephen Hage</t>
  </si>
  <si>
    <t>Online Gambling</t>
  </si>
  <si>
    <t>Transparency Project Gambling Datasets</t>
  </si>
  <si>
    <t>Entain plc, bwin Interactive</t>
  </si>
  <si>
    <r>
      <rPr>
        <rFont val="Arial,sans-serif"/>
        <color rgb="FF1155CC"/>
        <sz val="11.0"/>
        <u/>
      </rPr>
      <t>Transparency Project</t>
    </r>
  </si>
  <si>
    <t>Travel</t>
  </si>
  <si>
    <t>Retail &amp; Consumer Goods</t>
  </si>
  <si>
    <t>Replica Seasonal Mobility Models</t>
  </si>
  <si>
    <t>Replica</t>
  </si>
  <si>
    <r>
      <rPr>
        <rFont val="Arial,sans-serif"/>
        <color rgb="FF1155CC"/>
        <sz val="11.0"/>
        <u/>
      </rPr>
      <t>Replica Mobility</t>
    </r>
  </si>
  <si>
    <t>Hospitality</t>
  </si>
  <si>
    <t>Teradata Travel &amp; Hospitality Data Model (THDM)</t>
  </si>
  <si>
    <t>Teradata</t>
  </si>
  <si>
    <r>
      <rPr>
        <rFont val="Arial,sans-serif"/>
        <color rgb="FF1155CC"/>
        <sz val="11.0"/>
        <u/>
      </rPr>
      <t>Teradata THDM</t>
    </r>
  </si>
  <si>
    <t>Retail</t>
  </si>
  <si>
    <t>SKU-110k and other retail datasets</t>
  </si>
  <si>
    <t>Roboflow community</t>
  </si>
  <si>
    <r>
      <rPr>
        <rFont val="Arial,sans-serif"/>
        <color rgb="FF1155CC"/>
        <sz val="11.0"/>
        <u/>
      </rPr>
      <t>Retail Datasets</t>
    </r>
  </si>
  <si>
    <t xml:space="preserve">Consumer Packaged Goods </t>
  </si>
  <si>
    <t>Consumer Packaged Goods (should this be split into smaller groups like Food/Beverage, Household Products.....not sure it matters for IDM)</t>
  </si>
  <si>
    <t>ADRM CPG Data Model</t>
  </si>
  <si>
    <r>
      <rPr>
        <rFont val="Arial,sans-serif"/>
        <color rgb="FF1155CC"/>
        <sz val="11.0"/>
        <u/>
      </rPr>
      <t>ADRM CPG</t>
    </r>
  </si>
  <si>
    <t>Automotive</t>
  </si>
  <si>
    <r>
      <rPr>
        <rFont val="Arial,sans-serif"/>
        <color rgb="FF000000"/>
        <sz val="11.0"/>
      </rPr>
      <t xml:space="preserve">Databricks </t>
    </r>
    <r>
      <rPr>
        <rFont val="Arial,sans-serif"/>
        <color rgb="FF000000"/>
        <sz val="11.0"/>
      </rPr>
      <t>Custom Gaming Model</t>
    </r>
  </si>
  <si>
    <t>Databricks</t>
  </si>
  <si>
    <t>Manufacturing &amp; Automotive</t>
  </si>
  <si>
    <t>Supply Chain</t>
  </si>
  <si>
    <t>UBL (Universal Business Language)</t>
  </si>
  <si>
    <t>Oasis Open</t>
  </si>
  <si>
    <t>UBL</t>
  </si>
  <si>
    <t>Industrial Manufacturing</t>
  </si>
  <si>
    <t>B2MML</t>
  </si>
  <si>
    <t>MESA International</t>
  </si>
  <si>
    <t>OPC UA</t>
  </si>
  <si>
    <t>OPC Foundation</t>
  </si>
  <si>
    <t>EPA Automotive Trends Data</t>
  </si>
  <si>
    <t>U.S. Environmental Protection Agency</t>
  </si>
  <si>
    <r>
      <rPr>
        <rFont val="Arial,sans-serif"/>
        <color rgb="FF1155CC"/>
        <sz val="11.0"/>
        <u/>
      </rPr>
      <t>EPA Automotive Trends</t>
    </r>
  </si>
  <si>
    <t>MTConnect</t>
  </si>
  <si>
    <t>Open Supply Hub Data Model</t>
  </si>
  <si>
    <t>Open Supply Hub</t>
  </si>
  <si>
    <r>
      <rPr>
        <rFont val="Arial,sans-serif"/>
        <color rgb="FF1155CC"/>
        <sz val="11.0"/>
        <u/>
      </rPr>
      <t>Open Supply Hub</t>
    </r>
  </si>
  <si>
    <t>Awesome Industrial Datasets</t>
  </si>
  <si>
    <r>
      <rPr>
        <rFont val="Arial,sans-serif"/>
        <color rgb="FF1155CC"/>
        <sz val="11.0"/>
        <u/>
      </rPr>
      <t>Industrial Datasets</t>
    </r>
  </si>
  <si>
    <t>Natural Resources (O&amp;G)</t>
  </si>
  <si>
    <t>MFG - Energy &amp; Utilities</t>
  </si>
  <si>
    <t>Power</t>
  </si>
  <si>
    <t>Common Information Model</t>
  </si>
  <si>
    <t>ENTSO-E</t>
  </si>
  <si>
    <t>Common Industry Model</t>
  </si>
  <si>
    <t>Drew Triplett</t>
  </si>
  <si>
    <t>Energy &amp; Utilities</t>
  </si>
  <si>
    <t>EIA Open Data API</t>
  </si>
  <si>
    <t>U.S. Energy Information Administration</t>
  </si>
  <si>
    <r>
      <rPr>
        <rFont val="Arial,sans-serif"/>
        <color rgb="FF1155CC"/>
        <sz val="11.0"/>
        <u/>
      </rPr>
      <t>EIA Open Data</t>
    </r>
  </si>
  <si>
    <t>Mining</t>
  </si>
  <si>
    <t>Kaggle Mining Datasets</t>
  </si>
  <si>
    <t>Kaggle community</t>
  </si>
  <si>
    <r>
      <rPr>
        <rFont val="Arial,sans-serif"/>
        <color rgb="FF1155CC"/>
        <sz val="11.0"/>
        <u/>
      </rPr>
      <t>Kaggle Datasets</t>
    </r>
  </si>
  <si>
    <t>Renewables/Low Carbon sources</t>
  </si>
  <si>
    <t>NREL Data &amp; Tools</t>
  </si>
  <si>
    <t>National Renewable Energy Laboratory</t>
  </si>
  <si>
    <r>
      <rPr>
        <rFont val="Arial,sans-serif"/>
        <color rgb="FF1155CC"/>
        <sz val="11.0"/>
        <u/>
      </rPr>
      <t>NREL Data Tools</t>
    </r>
  </si>
  <si>
    <t>BetterGrids Grid Data Repository</t>
  </si>
  <si>
    <t>GridBright Inc. (DOE ARPA-E funded)</t>
  </si>
  <si>
    <r>
      <rPr>
        <rFont val="Arial,sans-serif"/>
        <color rgb="FF1155CC"/>
        <sz val="11.0"/>
        <u/>
      </rPr>
      <t>BetterGrids</t>
    </r>
  </si>
  <si>
    <t>Education</t>
  </si>
  <si>
    <t>Upstream O&amp;G</t>
  </si>
  <si>
    <t>OSDU</t>
  </si>
  <si>
    <t>The Open Group</t>
  </si>
  <si>
    <t>Forum Member GitLab Portal</t>
  </si>
  <si>
    <t>Rodrigo Martins</t>
  </si>
  <si>
    <t>Abhay Singh (?). Pete Heywood?</t>
  </si>
  <si>
    <t>Pipeline</t>
  </si>
  <si>
    <t>PODS</t>
  </si>
  <si>
    <t>Pipeline Open Data Standards Group</t>
  </si>
  <si>
    <t>Public Sector</t>
  </si>
  <si>
    <t>Educational Data Mining Datasets</t>
  </si>
  <si>
    <r>
      <rPr>
        <rFont val="Arial,sans-serif"/>
        <color rgb="FF1155CC"/>
        <sz val="11.0"/>
        <u/>
      </rPr>
      <t>Educational Data Mining</t>
    </r>
  </si>
  <si>
    <t xml:space="preserve">Government </t>
  </si>
  <si>
    <t>Government (do we do this one?  I don't know if publishing this information is something government agencies will then want to adopt....maybe we have it but it isn't part of the open repo?)</t>
  </si>
  <si>
    <t xml:space="preserve">Agencies </t>
  </si>
  <si>
    <t>Agencies (Should follow whatever we agree for the government industry)</t>
  </si>
  <si>
    <t>Data.gov Open Data Catalog</t>
  </si>
  <si>
    <t>U.S. Government</t>
  </si>
  <si>
    <r>
      <rPr>
        <rFont val="Arial,sans-serif"/>
        <color rgb="FF1155CC"/>
        <sz val="11.0"/>
        <u/>
      </rPr>
      <t>Data.gov</t>
    </r>
  </si>
  <si>
    <t>SaaS</t>
  </si>
  <si>
    <t>Digital Natives / Technology</t>
  </si>
  <si>
    <t>SaaS Benchmarks Dataset</t>
  </si>
  <si>
    <t>High Alpha Ventures</t>
  </si>
  <si>
    <r>
      <rPr>
        <rFont val="Arial,sans-serif"/>
        <color rgb="FF1155CC"/>
        <sz val="11.0"/>
        <u/>
      </rPr>
      <t>SaaS Benchmarks</t>
    </r>
  </si>
  <si>
    <t>ISV (Independant Software Vendors)</t>
  </si>
  <si>
    <t>ISVWorld Database</t>
  </si>
  <si>
    <t>ISVWorld</t>
  </si>
  <si>
    <r>
      <rPr>
        <rFont val="Arial,sans-serif"/>
        <color rgb="FF1155CC"/>
        <sz val="11.0"/>
        <u/>
      </rPr>
      <t>ISVWorld</t>
    </r>
  </si>
  <si>
    <t>Fintech</t>
  </si>
  <si>
    <r>
      <rPr>
        <rFont val="Arial,sans-serif"/>
        <color rgb="FF1155CC"/>
        <sz val="11.0"/>
        <u/>
      </rPr>
      <t>FIB-DM</t>
    </r>
  </si>
  <si>
    <t>General Industry</t>
  </si>
  <si>
    <t>Catch all for Industries we need to cover but are not part of the above list</t>
  </si>
  <si>
    <t>Retail/CPG</t>
  </si>
  <si>
    <t>Retailer Sales/Inventory/ DC/Store-Item-DC attribution</t>
  </si>
  <si>
    <t>Crisp Analytics</t>
  </si>
  <si>
    <t>Market Place listing</t>
  </si>
  <si>
    <t>Industry Templates</t>
  </si>
  <si>
    <t>Models Ready to Vibe</t>
  </si>
  <si>
    <t>Model</t>
  </si>
  <si>
    <t>Builders (mention your name)</t>
  </si>
  <si>
    <t>In Repo</t>
  </si>
  <si>
    <t>Ready for DAIS</t>
  </si>
  <si>
    <t>Agriculture</t>
  </si>
  <si>
    <t>Abhijit Tilak</t>
  </si>
  <si>
    <t>In Progress</t>
  </si>
  <si>
    <t>No</t>
  </si>
  <si>
    <t>No 2</t>
  </si>
  <si>
    <t>Airlines</t>
  </si>
  <si>
    <t>Consumer Goods</t>
  </si>
  <si>
    <t>Energy &amp; Commodity Trading</t>
  </si>
  <si>
    <t>Financial</t>
  </si>
  <si>
    <t>Freight &amp; Logistics</t>
  </si>
  <si>
    <t>Fund Management</t>
  </si>
  <si>
    <t>Genomics</t>
  </si>
  <si>
    <t>Government</t>
  </si>
  <si>
    <t>Healthcare Insurance</t>
  </si>
  <si>
    <t>Cary Moore</t>
  </si>
  <si>
    <t>Healthcare Provider</t>
  </si>
  <si>
    <t>Life Insurance &amp; Annuities</t>
  </si>
  <si>
    <t>Manufacturing</t>
  </si>
  <si>
    <t>Stuart Swartz</t>
  </si>
  <si>
    <t>Oil &amp; Gas</t>
  </si>
  <si>
    <t>Pharmaceuticals</t>
  </si>
  <si>
    <t>Property &amp; Casualty Insurance</t>
  </si>
  <si>
    <t>R&amp;D and Clinical Trials</t>
  </si>
  <si>
    <t>Restaurants</t>
  </si>
  <si>
    <t>Sustainability</t>
  </si>
  <si>
    <t>Telecom/Communications</t>
  </si>
  <si>
    <t>Osama Mansour</t>
  </si>
  <si>
    <t>Travel Services</t>
  </si>
  <si>
    <t>Utilities/Energy</t>
  </si>
  <si>
    <t>State Education Department</t>
  </si>
  <si>
    <t>Chris Crawford</t>
  </si>
  <si>
    <t>Under Review</t>
  </si>
  <si>
    <t>Who are we competing with</t>
  </si>
  <si>
    <t>Company</t>
  </si>
  <si>
    <t>Industry Data Model Name</t>
  </si>
  <si>
    <t>Associated Data Warehouse/Product</t>
  </si>
  <si>
    <t xml:space="preserve">GTM </t>
  </si>
  <si>
    <t>Links</t>
  </si>
  <si>
    <t>IBM</t>
  </si>
  <si>
    <t>Banking and Financial Markets Data Warehouse</t>
  </si>
  <si>
    <t>InfoSphere / Industry Models</t>
  </si>
  <si>
    <t>https://www.ibm.com/docs/en/bfmdw/8.10.1</t>
  </si>
  <si>
    <t>Insurance Information Warehouse</t>
  </si>
  <si>
    <t>https://www.ibm.com/products/insurance-information-warehouse</t>
  </si>
  <si>
    <t>Unified Data Model for Healthcare</t>
  </si>
  <si>
    <t>https://www.ibm.com/products/unified-data-model-for-healthcare</t>
  </si>
  <si>
    <t>Data Model for Energy and Utilities</t>
  </si>
  <si>
    <t>https://www.ibm.com/docs/en/dmeu/2.1.0</t>
  </si>
  <si>
    <t>Retail Data Warehouse</t>
  </si>
  <si>
    <t>https://www.ibm.com/support/pages/ibm-retail-data-warehouse-821</t>
  </si>
  <si>
    <t>Telecommunications Data Warehouse</t>
  </si>
  <si>
    <t>https://www.ibm.com/docs/en/tdw/8.5.1</t>
  </si>
  <si>
    <t>Oracle</t>
  </si>
  <si>
    <t>Oracle Communications Data Model</t>
  </si>
  <si>
    <t>Oracle Autonomous Data Warehouse</t>
  </si>
  <si>
    <t>https://docs.oracle.com/en/industries/communications/communications-data-model/index.html</t>
  </si>
  <si>
    <t>Oracle Retail Data Model</t>
  </si>
  <si>
    <t>https://www.oracle.com/database/technologies/retail-data-model.html</t>
  </si>
  <si>
    <t>Oracle Financial Services Data Model</t>
  </si>
  <si>
    <t>Oracle Financial Services Analytical Applications (OFSAA)</t>
  </si>
  <si>
    <t>https://docs.oracle.com/en/industries/financial-services/ofs-analytical-applications/analytical-applications-infrastructure/812/almug/ofsaa-data-model.html</t>
  </si>
  <si>
    <t>Oracle Utilities Data Model</t>
  </si>
  <si>
    <t>https://docs.oracle.com/cd/E49330_01/index.html</t>
  </si>
  <si>
    <t>SAP</t>
  </si>
  <si>
    <t>SAP Business Content (Industry-Specific InfoCubes/DataStore Objects)</t>
  </si>
  <si>
    <t>SAP Business Warehouse (BW/4HANA)</t>
  </si>
  <si>
    <t>Other</t>
  </si>
  <si>
    <t>https://help.sap.com/docs/SAP_BW4HANA_CONTENT</t>
  </si>
  <si>
    <t>SAP S/4HANA for Financial Products Subledger Data Model</t>
  </si>
  <si>
    <t>SAP S/4HANA</t>
  </si>
  <si>
    <t>https://help.sap.com/docs/S4HANA_FIN_PROD_SUBLEDGER/4444aa0b589b4c0d8cd1f24156e6a684/fbf9c9afaa0e4634a3ffdb1e3d8ec7c0.html</t>
  </si>
  <si>
    <t>CommunicationsTeradata Industry Data Models</t>
  </si>
  <si>
    <t>Teradata Vantage</t>
  </si>
  <si>
    <t>https://www.teradata.com/industries/telco/communications-data-model</t>
  </si>
  <si>
    <t>Finance Teradata Industry Data Models</t>
  </si>
  <si>
    <t>https://www.teradata.com/industries/financial-services/financial-services-data-model</t>
  </si>
  <si>
    <t>Retail Teradata Industry Data Models</t>
  </si>
  <si>
    <t>https://www.teradata.com/industries/retail/retail-data-model</t>
  </si>
  <si>
    <t>Healthcare Teradata Industry Data Models</t>
  </si>
  <si>
    <t>https://www.teradata.com/industries/healthcare/healthcare-data-model</t>
  </si>
  <si>
    <t>Manufacturing Teradata Industry Data Models</t>
  </si>
  <si>
    <t>https://www.teradata.com/industries/manufacturing/manufacturing-data-model</t>
  </si>
  <si>
    <t>Travel Teradata Industry Data Models</t>
  </si>
  <si>
    <t>https://www.teradata.com/industries/transportation/travel-and-hospitality-data-model</t>
  </si>
  <si>
    <t>Utilities Teradata Industry Data Models</t>
  </si>
  <si>
    <t>https://www.teradata.com/industries/utilities/utilities-data-model</t>
  </si>
  <si>
    <t>Infor</t>
  </si>
  <si>
    <t>Infor Birst Cloud BI Industry Analytics</t>
  </si>
  <si>
    <t>Infor Birst</t>
  </si>
  <si>
    <t>https://docs.infor.com/birst/2024.x/en-us/birstolh/intro_user/scf1692641734728.html</t>
  </si>
  <si>
    <t>SAS</t>
  </si>
  <si>
    <t>Banking SAS Industry Data Models</t>
  </si>
  <si>
    <t>SAS Viya / SAS 9 Platform</t>
  </si>
  <si>
    <t>https://documentation.sas.com/?docsetId=ddsbnkag&amp;docsetVersion=5.2&amp;docsetTarget=titlepage.htm</t>
  </si>
  <si>
    <t>Insurance SAS Industry Data Models</t>
  </si>
  <si>
    <t>https://support.sas.com/en/software/insurance-analytics-architecture-support.html</t>
  </si>
  <si>
    <t>Retail SAS Industry Data Models</t>
  </si>
  <si>
    <t>https://support.sas.com/en/software/sas-detail-data-store.html</t>
  </si>
  <si>
    <t>Salesforce</t>
  </si>
  <si>
    <t>Financial Services Cloud Data Model</t>
  </si>
  <si>
    <t>Salesforce Financial Services Cloud</t>
  </si>
  <si>
    <t>https://developer.salesforce.com/docs/platform/data-models/guide/financial-services-overview.html</t>
  </si>
  <si>
    <t>Health Cloud Data Model</t>
  </si>
  <si>
    <t>Salesforce Health Cloud</t>
  </si>
  <si>
    <t>https://developer.salesforce.com/docs/platform/data-models/guide/health-cloud-category.html</t>
  </si>
  <si>
    <t>Manufacturing Cloud Data Model</t>
  </si>
  <si>
    <t>Salesforce Manufacturing Cloud</t>
  </si>
  <si>
    <t>https://developer.salesforce.com/docs/platform/data-models/guide/manufacturing-cloud-category.html</t>
  </si>
  <si>
    <t>Microsoft</t>
  </si>
  <si>
    <t>Fabric (Synapse Analytics)</t>
  </si>
  <si>
    <t>https://learn.microsoft.com/en-us/azure/synapse-analytics/database-designer/overview-database-templates#available-database-templates</t>
  </si>
  <si>
    <t>Utilities</t>
  </si>
  <si>
    <t>Wireless</t>
  </si>
  <si>
    <t>Industry</t>
  </si>
  <si>
    <t>Business</t>
  </si>
  <si>
    <t>Vibe Model Business Description</t>
  </si>
  <si>
    <t>Notable business in this industry</t>
  </si>
  <si>
    <t>Solutions Architect</t>
  </si>
  <si>
    <t>Reviewers</t>
  </si>
  <si>
    <t>Vibe Model Business Name</t>
  </si>
  <si>
    <t>Agriculture is a global industry encompassing crop cultivation, animal husbandry, and food production, providing essential supply chain solutions from farm to table for food manufacturers and consumers worldwide.</t>
  </si>
  <si>
    <t>Cargill, ADM, Bayer Crop Science, Syngenta</t>
  </si>
  <si>
    <t>Julius Stahnke (Bayer AG - $5.8M/yr)</t>
  </si>
  <si>
    <t>Bricks Farms</t>
  </si>
  <si>
    <t>Health Insurance</t>
  </si>
  <si>
    <t>Health Insurance is a critical sector providing medical, dental, and vision coverage to individuals, employers, and government beneficiaries, managing care networks and wellness programs to ensure accessible and affordable healthcare.</t>
  </si>
  <si>
    <t>UnitedHealth Group, Anthem, Cigna, Humana</t>
  </si>
  <si>
    <t>Emma Yamada (UnitedHealth Group - $40M/yr)</t>
  </si>
  <si>
    <t>Bricks Insurance</t>
  </si>
  <si>
    <t>Education is a foundational industry spanning universities, colleges, and research institutions that deliver undergraduate, graduate, and professional programs across the arts, sciences, engineering, and business disciplines.</t>
  </si>
  <si>
    <t>Harvard University, MIT, Stanford, Texas Education Agency</t>
  </si>
  <si>
    <t/>
  </si>
  <si>
    <t>Bricks University</t>
  </si>
  <si>
    <t>Telecommunication</t>
  </si>
  <si>
    <t>Telecommunications is a global industry providing wireless services, broadband, fiber internet, and digital entertainment to billions of consumer and business customers through extensive network infrastructure.</t>
  </si>
  <si>
    <t>AT&amp;T, Verizon, T-Mobile, Deutsche Telekom</t>
  </si>
  <si>
    <t>Keerthi Josyula (T-Mobile - $21.6M/yr)</t>
  </si>
  <si>
    <t>Bricks Telecom</t>
  </si>
  <si>
    <t>Industrial Manufacturing encompasses the design, production, and delivery of automation systems, electrification solutions, and smart infrastructure components for factories, buildings, transportation, and urban environments.</t>
  </si>
  <si>
    <t>Siemens, General Electric, 3M, Caterpillar</t>
  </si>
  <si>
    <t>Bricks Manufacturing</t>
  </si>
  <si>
    <t>Healthcare is a vast industry operating hospitals, clinics, outpatient facilities, and integrated care systems, delivering patient care, medical research, diagnostics, and health education across diverse populations and regions.</t>
  </si>
  <si>
    <t>HCA Healthcare, Mayo Clinic, Kaiser Permanente, Cleveland Clinic</t>
  </si>
  <si>
    <t>Muhammad Zahid (Cleveland Clinic - $172K/yr)</t>
  </si>
  <si>
    <t>Bricks Healthcare</t>
  </si>
  <si>
    <t>Pharmaceuticals is a research-intensive industry focused on discovering, developing, and manufacturing medicines, vaccines, and consumer health products to treat and prevent diseases across therapeutic areas including oncology, immunology, and rare diseases.</t>
  </si>
  <si>
    <t>Pfizer, Johnson &amp; Johnson, Roche, Novartis</t>
  </si>
  <si>
    <t>Surya Sai Turaga (Johnson &amp; Johnson - $7.6M/yr)</t>
  </si>
  <si>
    <t>Bricks Pharma</t>
  </si>
  <si>
    <t>Genomics &amp; Biotech</t>
  </si>
  <si>
    <t>Genomics Biotech</t>
  </si>
  <si>
    <t>Genomics and Biotechnology is a rapidly evolving industry developing sequencing, array-based, and gene-editing solutions for genetic analysis, enabling advances in precision medicine, drug development, agricultural genomics, and diagnostics.</t>
  </si>
  <si>
    <t>Illumina, Thermo Fisher, 10x Genomics, Pacific Biosciences</t>
  </si>
  <si>
    <t>Tony Farias - (Biogen Genomics, Vertex Pharma Genomics) - $400k yr</t>
  </si>
  <si>
    <t>Zach Hanf Amir Kermany Tony Farias</t>
  </si>
  <si>
    <t>Bricks Biotech</t>
  </si>
  <si>
    <t>Clinical Trials</t>
  </si>
  <si>
    <t>Clinical Trials is a specialized industry that designs, manages, and monitors clinical research studies for pharmaceutical and biotech sponsors, providing data analytics, regulatory expertise, and patient recruitment to accelerate drug development.</t>
  </si>
  <si>
    <t>IQVIA, Parexel, Syneos Health, PPD</t>
  </si>
  <si>
    <t>Sam Yates (IQVIA - $2.6M/yr)</t>
  </si>
  <si>
    <t>Bricks Clinics</t>
  </si>
  <si>
    <t>Retail &amp; Investment Banking</t>
  </si>
  <si>
    <t>Retail and Investment Banking is a cornerstone of the global financial system, providing commercial lending, investment banking, securities trading, asset management, and wealth advisory services to corporations, governments, and individuals.</t>
  </si>
  <si>
    <t>Goldman Sachs, Morgan Stanley, Citadel, Bloomberg</t>
  </si>
  <si>
    <t>Andrew Tolbert (Goldman Sachs - $9.6M/yr)</t>
  </si>
  <si>
    <t>Bricks Bank</t>
  </si>
  <si>
    <t>Payments &amp; Fintech</t>
  </si>
  <si>
    <t>Payments Fintech</t>
  </si>
  <si>
    <t>Payments and Fintech is a transformative industry connecting consumers, merchants, and financial institutions through fast, secure electronic payment networks, digital wallets, and innovative financial technology solutions spanning over 200 countries.</t>
  </si>
  <si>
    <t>Visa, Mastercard, PayPal, Stripe</t>
  </si>
  <si>
    <t>Spencer Cook (Mastercard - $11.5M/yr)</t>
  </si>
  <si>
    <t>Bricks Payments</t>
  </si>
  <si>
    <t>Oil Gas</t>
  </si>
  <si>
    <t>Oil and Gas is a multinational industry engaged in the exploration, production, refining, and marketing of petroleum and natural gas products, along with petrochemical manufacturing operations that fuel the global economy.</t>
  </si>
  <si>
    <t>Saudi Aramco, ExxonMobil, Shell, TotalEnergies</t>
  </si>
  <si>
    <t>Nitin Chaudhary (ExxonMobil - $5.1M/yr)</t>
  </si>
  <si>
    <t>Bricks Gas</t>
  </si>
  <si>
    <t>Energy Utilities</t>
  </si>
  <si>
    <t>Energy and Utilities is a critical infrastructure industry generating, transmitting, and distributing electric power from renewable and conventional sources to residential, commercial, and industrial customers worldwide.</t>
  </si>
  <si>
    <t>NextEra Energy, Duke Energy, Enel, Southern Company</t>
  </si>
  <si>
    <t>Shalinder Verma</t>
  </si>
  <si>
    <t>Bricks Energy</t>
  </si>
  <si>
    <t>Chemical Manufacturing</t>
  </si>
  <si>
    <t>Chemical Mfg</t>
  </si>
  <si>
    <t>Chemical Manufacturing is a foundational industry producing a wide range of chemicals, plastics, performance materials, and agricultural solutions used across automotive, construction, electronics, and consumer goods sectors.</t>
  </si>
  <si>
    <t>BASF, Dow, DuPont, LyondellBasell</t>
  </si>
  <si>
    <t>Ali Yener Mutlu (BASF SE - $7.8M/yr)</t>
  </si>
  <si>
    <t>Bricks Chemicals</t>
  </si>
  <si>
    <t>Semiconductor</t>
  </si>
  <si>
    <t>Semiconductors</t>
  </si>
  <si>
    <t>Semiconductor is a high-technology industry that designs and fabricates advanced integrated circuits, processors, and chips powering computing, mobile, automotive, AI, and IoT applications across the digital economy.</t>
  </si>
  <si>
    <t>TSMC, Intel, Samsung Foundry, NVIDIA</t>
  </si>
  <si>
    <t>Esha Deshpande (NVIDIA - $12.4M/yr)</t>
  </si>
  <si>
    <t>Bricks Silicon</t>
  </si>
  <si>
    <t>Transport &amp; Shipping</t>
  </si>
  <si>
    <t>Transport Shipping</t>
  </si>
  <si>
    <t>Transport and Shipping is a global logistics industry providing express delivery, freight forwarding, supply chain management, and e-commerce fulfillment services that connect businesses and consumers across continents.</t>
  </si>
  <si>
    <t>FedEx, UPS, Maersk, MSC</t>
  </si>
  <si>
    <t>Ilia Chibaev (A.P. Moller-Maersk - $5.1M/yr)</t>
  </si>
  <si>
    <t>Bricks Move</t>
  </si>
  <si>
    <t>Airlines is a global industry operating passenger and cargo flights across extensive route networks, offering premium travel experiences, loyalty programs, and hub-and-spoke connectivity linking cities worldwide.</t>
  </si>
  <si>
    <t>Emirates, Delta Air Lines, United Airlines, Lufthansa</t>
  </si>
  <si>
    <t>Amr Ali (Emirates - $970K/yr)</t>
  </si>
  <si>
    <t>Bricks Airlines</t>
  </si>
  <si>
    <t>Automotive is a major manufacturing industry producing cars, trucks, SUVs, and commercial vehicles along with hybrid and electric powertrains, connected mobility services, and autonomous driving technologies.</t>
  </si>
  <si>
    <t>Toyota, Volkswagen, Mercedes-Benz, Bosch</t>
  </si>
  <si>
    <t>Max Köhler (Mercedes-Benz - $16.7M/yr)</t>
  </si>
  <si>
    <t>Bricks Auto</t>
  </si>
  <si>
    <t>Food &amp; Beverage</t>
  </si>
  <si>
    <t>Food Beverage</t>
  </si>
  <si>
    <t>Food and Beverage is a global consumer industry manufacturing, marketing, and distributing a diverse portfolio of snacks, beverages, dairy products, and packaged foods through retail, foodservice, and direct-to-consumer channels.</t>
  </si>
  <si>
    <t>Nestle, PepsiCo, Coca-Cola, Anheuser-Busch InBev</t>
  </si>
  <si>
    <t>Venkata Satya Prakash Wunnava (PepsiCo - $12.8M/yr)</t>
  </si>
  <si>
    <t>Bricks Food</t>
  </si>
  <si>
    <t>Grocery</t>
  </si>
  <si>
    <t>Grocery is a large-scale retail industry operating supermarkets, pharmacies, and fuel centers, offering fresh produce, private-label brands, and omnichannel shopping experiences with delivery and pickup services.</t>
  </si>
  <si>
    <t>Kroger, Aldi, Tesco, Carrefour</t>
  </si>
  <si>
    <t>Sumit Prakash (Kroger - $6.1M/yr)</t>
  </si>
  <si>
    <t>Bricks Grocery</t>
  </si>
  <si>
    <t>Restaurants is a global foodservice industry operating quick-service, casual, and fine-dining establishments through franchise and company-owned models, serving millions of customers daily with a focus on speed, quality, and value.</t>
  </si>
  <si>
    <t>McDonald's, Starbucks, Yum! Brands, Chipotle</t>
  </si>
  <si>
    <t>Joe Cristee (Starbucks - $5.6M/yr)</t>
  </si>
  <si>
    <t>Bricks Restaurant</t>
  </si>
  <si>
    <t>Travel &amp; Hospitality</t>
  </si>
  <si>
    <t>Travel Hospitality</t>
  </si>
  <si>
    <t>Travel and Hospitality is a global industry operating hotels, resorts, and vacation properties across luxury, premium, and select-service segments, providing loyalty programs, event spaces, and curated guest experiences.</t>
  </si>
  <si>
    <t>Marriott, Hilton, Booking Holdings, Hyatt</t>
  </si>
  <si>
    <t>Bricks Travel</t>
  </si>
  <si>
    <t>E-Commerce</t>
  </si>
  <si>
    <t>Ecommerce</t>
  </si>
  <si>
    <t>E-Commerce is a rapidly growing digital industry operating online marketplaces, fulfillment networks, and technology platforms that connect millions of buyers and sellers with fast delivery, personalized recommendations, and seamless transactions.</t>
  </si>
  <si>
    <t>Amazon, Alibaba, Shopify, JD.com</t>
  </si>
  <si>
    <t>Bricks E-Com</t>
  </si>
  <si>
    <t>Life &amp; Annuity Insurance</t>
  </si>
  <si>
    <t>Life Insurance</t>
  </si>
  <si>
    <t>Life and Annuity Insurance is a financial services industry providing life insurance policies, annuities, retirement planning, and wealth protection products to individuals and families, managing long-term risk and investment portfolios.</t>
  </si>
  <si>
    <t>MetLife, Prudential, AIG, Allianz Life</t>
  </si>
  <si>
    <t>Retail is a massive consumer-facing industry operating hypermarkets, department stores, discount outlets, and e-commerce platforms, offering groceries, apparel, electronics, and household goods at competitive prices to diverse demographics.</t>
  </si>
  <si>
    <t>Walmart, Costco, Schwarz Group, Target</t>
  </si>
  <si>
    <t>Harish Rajagopalan (Walmart - $13.5M/yr)</t>
  </si>
  <si>
    <t>Bricks Retail</t>
  </si>
  <si>
    <t>Consumer Goods is a broad manufacturing industry producing and marketing household, health, hygiene, and personal care products distributed through retail stores, e-commerce platforms, and wholesale channels worldwide.</t>
  </si>
  <si>
    <t>Procter &amp; Gamble, Unilever, Colgate-Palmolive, Henkel</t>
  </si>
  <si>
    <t>Samer Zabaneh (Procter &amp; Gamble - $10.7M/yr)</t>
  </si>
  <si>
    <t>Bricks Goods</t>
  </si>
  <si>
    <t>Apparel &amp; Fashion</t>
  </si>
  <si>
    <t>Apparel Fashion</t>
  </si>
  <si>
    <t>Apparel and Fashion is a creative and commercial industry designing, manufacturing, and marketing athletic, lifestyle, and luxury clothing, footwear, and accessories through retail stores, e-commerce, and wholesale partnerships.</t>
  </si>
  <si>
    <t>Nike, Nike, Inditex (Zara), H&amp;M</t>
  </si>
  <si>
    <t>Jeff Torres (Nike - $12.8M/yr)</t>
  </si>
  <si>
    <t>Bricks Fashion</t>
  </si>
  <si>
    <t>Mining is a resource extraction industry engaged in the exploration, mining, and processing of minerals including iron ore, copper, coal, lithium, and nickel, supplying raw materials to the steel, energy, and manufacturing sectors.</t>
  </si>
  <si>
    <t>BHP Group, Rio Tinto, Vale, Anglo American</t>
  </si>
  <si>
    <t>Adrian Tompkins (Rio Tinto - $2.5M/yr)</t>
  </si>
  <si>
    <t>Bricks Mining</t>
  </si>
  <si>
    <t>Legal</t>
  </si>
  <si>
    <t>Legal is a professional services industry providing advisory and representation services across corporate transactions, dispute resolution, intellectual property, employment law, and regulatory compliance for organizations and governments.</t>
  </si>
  <si>
    <t>Baker McKenzie, DLA Piper, Latham &amp; Watkins, Clifford Chance</t>
  </si>
  <si>
    <t>Bricks Legal</t>
  </si>
  <si>
    <t>Advertising &amp; Marketing</t>
  </si>
  <si>
    <t>Advertising and Marketing is a dynamic industry delivering creative campaigns, media planning and buying, public relations, data-driven analytics, and brand strategy to help organizations reach and engage their target audiences.</t>
  </si>
  <si>
    <t>WPP, Omnicom, Publicis Groupe, Interpublic</t>
  </si>
  <si>
    <t>Rohith Chintalapally (Publicis Media - $2.7M/yr)</t>
  </si>
  <si>
    <t>Bricks Ads</t>
  </si>
  <si>
    <t>Staffing &amp; HR</t>
  </si>
  <si>
    <t>Staffing HR</t>
  </si>
  <si>
    <t>Staffing and Human Resources is a workforce solutions industry providing temporary and permanent talent placement, recruitment process outsourcing, workforce management, and HR consulting services across all industries and skill levels.</t>
  </si>
  <si>
    <t>Randstad, Adecco, ManpowerGroup, Robert Half</t>
  </si>
  <si>
    <t>Guido Oswald (Adecco - $696K/yr)</t>
  </si>
  <si>
    <t>Bricks Workforce</t>
  </si>
  <si>
    <t>Real Estate</t>
  </si>
  <si>
    <t>Real Estate is a capital-intensive industry encompassing commercial and residential property sales, leasing, valuations, property management, development, and investment advisory services for owners, investors, and tenants.</t>
  </si>
  <si>
    <t>CBRE Group, Jones Lang LaSalle, Prologis, Brookfield</t>
  </si>
  <si>
    <t>Jeff Lewis (CBRE - $2.8M/yr)</t>
  </si>
  <si>
    <t>Bricks Real Estate</t>
  </si>
  <si>
    <t>Construction</t>
  </si>
  <si>
    <t>Construction is a global engineering and building industry delivering large-scale infrastructure, energy, and commercial projects including highways, airports, bridges, power plants, and residential developments.</t>
  </si>
  <si>
    <t>Bechtel, Vinci, ACS Group, Bouygues</t>
  </si>
  <si>
    <t>Bricks Construction</t>
  </si>
  <si>
    <t>Waste Management</t>
  </si>
  <si>
    <t>Waste Management is an environmental services industry providing residential and commercial waste collection, recycling, landfill operations, hazardous waste handling, and sustainable waste-to-energy solutions.</t>
  </si>
  <si>
    <t>Waste Management Inc, Republic Services, Clean Harbors, Stericycle</t>
  </si>
  <si>
    <t>Bricks Recycle</t>
  </si>
  <si>
    <t>Sports &amp; Entertainment</t>
  </si>
  <si>
    <t>Sports Entertainment</t>
  </si>
  <si>
    <t>Sports and Entertainment is a live experience industry operating professional leagues, broadcasting networks, athlete management, venue operations, concerts, and fan engagement platforms across global markets.</t>
  </si>
  <si>
    <t>Live Nation, FIFA, ESPN, UFC</t>
  </si>
  <si>
    <t>Bradford Chang (Live Nation - $8.9M/yr)</t>
  </si>
  <si>
    <t>Bricks Sport</t>
  </si>
  <si>
    <t>Nonprofit Organization</t>
  </si>
  <si>
    <t>NGO</t>
  </si>
  <si>
    <t>Nonprofit Organizations are mission-driven entities providing humanitarian aid, disaster relief, health services, education, and community development programs to vulnerable and underserved populations worldwide.</t>
  </si>
  <si>
    <t>Red Cross, UNICEF, Doctors Without Borders, WWF</t>
  </si>
  <si>
    <t>Bricks Helps</t>
  </si>
  <si>
    <t>Gaming &amp; Interactive</t>
  </si>
  <si>
    <t>Gaming and Interactive Entertainment is a digital media industry developing and publishing video games, operating online gaming platforms, esports leagues, and providing game engine technology for console, PC, and mobile platforms.</t>
  </si>
  <si>
    <t>Tencent Games, Sony Interactive, Nintendo, Epic Games</t>
  </si>
  <si>
    <t>Ronald Tice (Epic Games - $5.7M/yr)</t>
  </si>
  <si>
    <t>Bricks Games</t>
  </si>
  <si>
    <t>Water &amp; Wastewater</t>
  </si>
  <si>
    <t>Water Utilities</t>
  </si>
  <si>
    <t>Water and Wastewater is an essential utilities industry providing water treatment, purification, distribution, and recycling services to municipalities and industrial clients, ensuring clean water access and environmental compliance.</t>
  </si>
  <si>
    <t>Veolia, Suez, Xylem, American Water Works</t>
  </si>
  <si>
    <t>Bricks Water</t>
  </si>
  <si>
    <t>Shipping &amp; Ports</t>
  </si>
  <si>
    <t>Shipping Ports</t>
  </si>
  <si>
    <t>Shipping and Ports is a maritime logistics industry managing marine terminals, container handling, vessel operations, and port infrastructure at major seaports, facilitating international trade and global supply chain connectivity.</t>
  </si>
  <si>
    <t>DP World, CMA CGM, COSCO, Hapag-Lloyd</t>
  </si>
  <si>
    <t>Ahmed Elmaadawy (DP World - $1.1M/yr)</t>
  </si>
  <si>
    <t>Bricks Ports</t>
  </si>
  <si>
    <t>Media &amp; Broadcasting</t>
  </si>
  <si>
    <t>Media Broadcasting</t>
  </si>
  <si>
    <t>Media and Broadcasting is a global content and distribution industry encompassing film studios, television networks, streaming platforms, music labels, news organizations, and digital publishers that produce, license, and deliver entertainment and information to audiences through linear, on-demand, and social channels.</t>
  </si>
  <si>
    <t>Netflix, Disney, Warner Bros Discovery, Spotify, Comcast NBCUniversal, ViacomCBS</t>
  </si>
  <si>
    <t>Bricks Media</t>
  </si>
  <si>
    <t>Date</t>
  </si>
  <si>
    <t>To do:</t>
  </si>
  <si>
    <t>Shelly &amp; Romina: Come up with a date to do the V1 release and work backwards to build a plan to start marching towards then.
Pre-Kick off HW:
- Github: Leo is almost done with the Github proviosning
- Template: Amr can upload the template.
We can share the template with the builders &amp; advisors and have them agree.
Shelly and romina to meet with Advisors &amp; Builders, we need to push this out after EOY.
Franco reached out around additional adviosrs for this project.</t>
  </si>
  <si>
    <t>Romina &amp; Shelly to work on a plan backwards from v1 launch.
Franco to follow up on additional advisor help.</t>
  </si>
  <si>
    <t>Name</t>
  </si>
  <si>
    <t>Role</t>
  </si>
  <si>
    <t>Participating</t>
  </si>
  <si>
    <t>Digital Natives and Technology</t>
  </si>
  <si>
    <t>Energy and Utilities</t>
  </si>
  <si>
    <t>?</t>
  </si>
  <si>
    <t>yes</t>
  </si>
  <si>
    <t>Rodrigo Martin</t>
  </si>
  <si>
    <t>David Morton</t>
  </si>
  <si>
    <t>Greg Shirley</t>
  </si>
  <si>
    <t>Kyle Jones</t>
  </si>
  <si>
    <t>Financial Services</t>
  </si>
  <si>
    <t>Lorenzo Tagliaferri</t>
  </si>
  <si>
    <t>Brian McConnell</t>
  </si>
  <si>
    <t>Healthcare and Life Science</t>
  </si>
  <si>
    <t>Mark Lee</t>
  </si>
  <si>
    <t>Alexander Stufflebeam</t>
  </si>
  <si>
    <t>Arnav Chaudhary</t>
  </si>
  <si>
    <t>Rob Signoretti</t>
  </si>
  <si>
    <t>Sam Yates</t>
  </si>
  <si>
    <t>Manufacturing, Industrial and Automotive</t>
  </si>
  <si>
    <t>Jess Cornell</t>
  </si>
  <si>
    <t>no</t>
  </si>
  <si>
    <t>Jeffrey Lipkowitz</t>
  </si>
  <si>
    <t>Shiv Trisal</t>
  </si>
  <si>
    <t>Herman Lombard</t>
  </si>
  <si>
    <t>Media, Entertainment and Communications</t>
  </si>
  <si>
    <t>Huntting Buckley</t>
  </si>
  <si>
    <t>Champion ~ no working sessions</t>
  </si>
  <si>
    <t>Brad Jarrett</t>
  </si>
  <si>
    <t>Build</t>
  </si>
  <si>
    <t>Retail and Consumer Goods</t>
  </si>
  <si>
    <t>Rick Bellistri</t>
  </si>
  <si>
    <t>Bryan Smith</t>
  </si>
  <si>
    <t>Roberto Robles Nacif</t>
  </si>
  <si>
    <t>Rob Saker</t>
  </si>
  <si>
    <t>Lukas Peterson</t>
  </si>
  <si>
    <t>Mitchell Grewer</t>
  </si>
  <si>
    <t>Product</t>
  </si>
  <si>
    <t>Alejandro Quiroga</t>
  </si>
  <si>
    <t>Yogesh Singh</t>
  </si>
  <si>
    <t>Shashank Kava</t>
  </si>
  <si>
    <t>Legality Risk</t>
  </si>
  <si>
    <t>Type</t>
  </si>
  <si>
    <t>Legal Notes</t>
  </si>
  <si>
    <t>Legal Except</t>
  </si>
  <si>
    <t>Lead</t>
  </si>
  <si>
    <t>Priority</t>
  </si>
  <si>
    <t>Draft Date</t>
  </si>
  <si>
    <t>Low</t>
  </si>
  <si>
    <t>Open Standard / Public Domain</t>
  </si>
  <si>
    <t>What is restricted:
• Must follow the specifications but no formal license restrictions.
What is NOT restricted:
• Free and open; no fees for usage or building taxonomies.
• Non‑proprietary; open to all participants.
As long as:
• You comply with XBRL’s technical specs and attribution if required in documentation.</t>
  </si>
  <si>
    <t xml:space="preserve">“The XBRL standard is free, open, non‑proprietary and is developed, and maintained by a not‑for‑profit standards body”
xbrl.us
.
“There are no licensing fees associated with the use of the XBRL technical standard. Anyone can build an XBRL taxonomy, at no cost”
xbrl.us
.
https://xbrl.us/home/learn/free-open-standards/
</t>
  </si>
  <si>
    <r>
      <rPr>
        <rFont val="Arial,sans-serif"/>
        <color rgb="FF1155CC"/>
        <sz val="11.0"/>
        <u/>
      </rPr>
      <t>FIB-DM</t>
    </r>
  </si>
  <si>
    <t>Copyleft Open Source</t>
  </si>
  <si>
    <t>COMMENTS:
- Fully compatible with Databricks' plan to publish a free, public, non-proprietary model.
- HOWEVER: Databricks MUST publish its version under GPL-3.0.
- Cannot offer a proprietary license; all derivatives must remain open.
- Must preserve required copyright notices from FIB-DM.</t>
  </si>
  <si>
    <r>
      <rPr>
        <b/>
      </rPr>
      <t xml:space="preserve">NOTE: It's a copyleft license - which means we'd have to open source the solution (meaning that the open source status is inherited) </t>
    </r>
    <r>
      <rPr/>
      <t xml:space="preserve">
from Jayzed Data Models – Terms of Use:
• “FIB‑DM core is available for free download under the GPL‑3.0 license. The open‑source license allows you to use, copy, modify, and distribute derived works as long as you include EDMC, OMG, and Jayzed copyright and license notices ”
</t>
    </r>
    <r>
      <rPr>
        <color rgb="FF1155CC"/>
        <u/>
      </rPr>
      <t xml:space="preserve">https://jayzed.com/terms-of-use/
</t>
    </r>
    <r>
      <rPr/>
      <t xml:space="preserve">
.
• “Copyleft prohibits making your work proprietary or selling FIB‑DM under a commercial license”
jayzed.com
.
• “You may not edit the downloads (e.g., remove the copyright notice), change the file format, or incorporate the commercial version design into any model”
jayzed.com
.
• The open source page notes that the FIB‑DM core is released under the GPL‑3.0 (copyleft) license and that specialized extensions are commercia</t>
    </r>
  </si>
  <si>
    <t xml:space="preserve">Leo Mao,Lorenzo Tagliaferri </t>
  </si>
  <si>
    <r>
      <rPr>
        <rFont val="Arial,sans-serif"/>
        <color rgb="FF1155CC"/>
        <sz val="11.0"/>
        <u/>
      </rPr>
      <t>CMS Exchange PUFs</t>
    </r>
  </si>
  <si>
    <t>Open but Restricted</t>
  </si>
  <si>
    <t xml:space="preserve">What is restricted:
• calling our modified data “official CMS data”
• implying CMS created, approved, or certified our model
• misrepresenting CMS information
What is NOT restricted:
• building schemas or models based on the general structure of their data
• creating and publishing our own Databricks-branded model
• using CMS documentation as a reference point
• using the data to understand layout or meaning and modeling accordingly
As long as:
• we don’t label our work as official CMS output
• we’re not redistributing CMS’s own files as-is
• we make it clear this is a Databricks interpretation
• we avoid using CMS logos or language that suggests endorsement
</t>
  </si>
  <si>
    <r>
      <rPr>
        <rFont val="Arial"/>
        <color theme="1"/>
      </rPr>
      <t xml:space="preserve">from CMS Exchange PUFs (Public Use Files disclaimer):
</t>
    </r>
    <r>
      <rPr>
        <rFont val="Arial"/>
        <b/>
        <color theme="1"/>
      </rPr>
      <t>“The user may not present or otherwise reference data that have been altered in any way as CMS data.”</t>
    </r>
    <r>
      <rPr>
        <rFont val="Arial"/>
        <color theme="1"/>
      </rPr>
      <t xml:space="preserve">
from CMS Exchange PUFs homepage:
“CMS is pleased to make available as free public downloads the Health Insurance Exchange Public Use Files (Exchange PUFs)…”</t>
    </r>
  </si>
  <si>
    <t xml:space="preserve">Lorenzo Tagliaferri </t>
  </si>
  <si>
    <r>
      <rPr>
        <rFont val="Arial,sans-serif"/>
        <color rgb="FF1155CC"/>
        <sz val="11.0"/>
        <u/>
      </rPr>
      <t>FRPS Data</t>
    </r>
  </si>
  <si>
    <t>Medium</t>
  </si>
  <si>
    <t>What is restricted:
- redistributing third-party data series (if copyrighted)
- any usage implying endorsement by the Federal Reserve
What is NOT restricted:
- creating schemas or data models inspired by economic concepts
- publishing your own Databricks-branded model
as long as:
- we do not distribute copyrighted third-party series
- we do not imply the Fed endorses your model- 
- we treat it as a Databricks interpretation, not an “official Fed data model”</t>
  </si>
  <si>
    <t xml:space="preserve">from Federal Reserve Bank of St. Louis – FRED Terms of Use
“All use of FRED® data—including non-commercial, educational, and personal use—is subject to the following prohibitions.”
https://fred.stlouisfed.org/legal/
from Federal Reserve Bank of St. Louis – FRED Terms of Use
“Before using data series that appear in FRED… for anything other than your own personal use, you must contact the data owner to obtain permission.”
https://fred.stlouisfed.org/legal/
from Federal Reserve Bank of St. Louis – FRED Terms of Use
“You may not… suggest the Federal Reserve Bank of St. Louis or FRED endorses your product, service, opinion, arguments, or conclusions.”
https://fred.stlouisfed.org/legal/
 </t>
  </si>
  <si>
    <r>
      <rPr>
        <rFont val="Arial,sans-serif"/>
        <color rgb="FF1155CC"/>
        <sz val="11.0"/>
        <u/>
      </rPr>
      <t>SEC Data</t>
    </r>
  </si>
  <si>
    <t>What is restricted:
• redistributing third-party data
• implying endorsement by the source organization
• using official logos, insignia, or trademarks
• misrepresenting modified data as official
What is NOT restricted:
• creating schemas or data models inspired by the concepts
• publishing our own Databricks-branded model
• referencing publicly available documentation
• producing derivative models or interpretations
As long as:
• we do not distribute copyrighted or paywalled content
• we do not imply endorsement
• we do not use protected logos or trademarks
• we present it as a Databricks interpretation, not an official standard</t>
  </si>
  <si>
    <t>from SEC Website Policies – Copyright Policy
“SEC.gov information is not copyrighted and may be reproduced without permission.”
https://www.sec.gov/privacy-notice
 *
from SEC Website Policies – Restrictions
“This permission does not extend to use of any SEC or government logo, insignia, or trademark.”
https://www.sec.gov/privacy-notice
 *
from SEC Website Policies – Accuracy and Attribution Notice
“If you publish material from the SEC website, you must not misrepresent the published material.”
https://www.sec.gov/privacy-notice
 *</t>
  </si>
  <si>
    <t>MITRE</t>
  </si>
  <si>
    <t>What is restricted:
• Must not claim endorsement by HL7 or misrepresent your derivative as the official FHIR spec.
• Must clearly label derivatives as separate works.
• Trademark usage (HL7, FHIR names) requires separate permission.
What is NOT restricted:
• FHIR is dedicated to the public domain (CC0); you may copy, modify, and distribute without royalties.
• May create derivative specifications and implementation guides.
As long as:
• You acknowledge FHIR trademarks appropriately and label derivatives.
• You obtain permission for trademark use (e.g., using the FHIR logo).</t>
  </si>
  <si>
    <t xml:space="preserve">“This specification is licensed under Creative Commons ‘No Rights Reserved’ (CC0)”
build.fhir.org
.
You can “redistribute FHIR” and “create derivative specifications or implementation-related products and services”
build.fhir.org
.
You cannot claim that HL7 or its members endorse your derived work and you must label derivatives as such
build.fhir.org
.
https://build.fhir.org/license.html
</t>
  </si>
  <si>
    <t xml:space="preserve">
COMMENTS:
- Databricks CAN build and publish an OMOP-derived model on GitHub.
- Must provide attribution to OHDSI.
- MUST release the Databricks model under CC BY-SA 4.0 (share-alike).
- Very compatible with Databricks’ open/public strategy.
- Note: cannot add more restrictive licensing.</t>
  </si>
  <si>
    <r>
      <rPr>
        <color rgb="FF434343"/>
        <u/>
      </rPr>
      <t xml:space="preserve">https://www.ohdsi.org/data-standardization/the-common-data-model/
</t>
    </r>
    <r>
      <rPr>
        <color rgb="FF000000"/>
      </rPr>
      <t>“All OHDSI content is published under the Creative Commons CC BY-SA 4.0 license.”
“You are free to share and adapt the material… provided you give attribution and distribute your contributions under the same license.”</t>
    </r>
  </si>
  <si>
    <t>Internal Page</t>
  </si>
  <si>
    <t>High</t>
  </si>
  <si>
    <t>Paywalled</t>
  </si>
  <si>
    <t>What is restricted:
• Distribution is subject to CDISC’s license terms; cannot sublicense or modify the standards without permission.
• Must include all copyright and trademark notices.
What is NOT restricted:
• CDISC provides royalty‑free patent licenses and allows reproduction of the final standard for purposes consistent with its license.
As long as:
• You comply with CDISC’s license terms and include all notices.
• You do not create derivative works without permission.</t>
  </si>
  <si>
    <r>
      <rPr/>
      <t xml:space="preserve">from CDISC Intellectual Property Policy:
• CDISC “must protect the standards to ensure they remain neutral and royalty‑free”
</t>
    </r>
    <r>
      <rPr>
        <color rgb="FF1155CC"/>
        <u/>
      </rPr>
      <t>cdisc.org</t>
    </r>
    <r>
      <rPr/>
      <t xml:space="preserve">
.
• Each participant must grant a “nonexclusive, compensation‑free (no royalty)” patent license for products implementing final standards
</t>
    </r>
    <r>
      <rPr>
        <color rgb="FF1155CC"/>
        <u/>
      </rPr>
      <t>cdisc.org</t>
    </r>
    <r>
      <rPr/>
      <t xml:space="preserve">
.
• CDISC owns the copyrights; after adoption, it grants participants a “nonexclusive, compensation‑free, non‑transferable, non‑sublicensable, worldwide, perpetual copyright license to reproduce, publish, display and distribute the Final Standard, but only pursuant to license terms provided on the CDISC website”
</t>
    </r>
    <r>
      <rPr>
        <color rgb="FF1155CC"/>
        <u/>
      </rPr>
      <t>cdisc.org</t>
    </r>
    <r>
      <rPr/>
      <t xml:space="preserve">
.
• “Any reproduction of the Final Standard must include all copyright and trademark notices and limitations from the original”
</t>
    </r>
    <r>
      <rPr>
        <color rgb="FF1155CC"/>
        <u/>
      </rPr>
      <t>cdisc.org</t>
    </r>
    <r>
      <rPr/>
      <t xml:space="preserve">
.</t>
    </r>
  </si>
  <si>
    <t>There are open source tools for the cdisc models</t>
  </si>
  <si>
    <r>
      <rPr/>
      <t>EDI 837 and EDI 834 are industry standards governed by X12. They are widely used for claims and benefit enrollment transactions, but the schemas are copyrighted. You may not enter these standards into AI models or publish derivative schemas without a paid license and explicit permission from X12</t>
    </r>
    <r>
      <rPr>
        <color rgb="FF1155CC"/>
        <u/>
      </rPr>
      <t>x12.org</t>
    </r>
    <r>
      <rPr/>
      <t>. Any distribution beyond internal use requires written permission</t>
    </r>
    <r>
      <rPr>
        <color rgb="FF1155CC"/>
        <u/>
      </rPr>
      <t>x12.org</t>
    </r>
    <r>
      <rPr/>
      <t>. This makes them unsuitable as a base for an open-source, freely shareable data model.</t>
    </r>
  </si>
  <si>
    <t>X12’s Intellectual Property policy states that “All X12 work products are copyrighted” and any use must comply with US copyright law
x12.org
.
X12 prohibits the entry of its standards “into any form of Artificial Intelligence tools, such as ChatGPT” and “prohibits the creation of any derivative of X12 IP using AI without express written permission”
x12.org
.
Written permission is required for any use that distributes X12 content outside the licensee’s organization or reproduces portions of the product; posting X12 materials on public websites is strictly prohibited</t>
  </si>
  <si>
    <r>
      <rPr/>
      <t xml:space="preserve">from CDISC Intellectual Property Policy:
• CDISC “must protect the standards to ensure they remain neutral and royalty‑free”
</t>
    </r>
    <r>
      <rPr>
        <color rgb="FF1155CC"/>
        <u/>
      </rPr>
      <t>cdisc.org</t>
    </r>
    <r>
      <rPr/>
      <t xml:space="preserve">
.
• Each participant must grant a “nonexclusive, compensation‑free (no royalty)” patent license for products implementing final standards
</t>
    </r>
    <r>
      <rPr>
        <color rgb="FF1155CC"/>
        <u/>
      </rPr>
      <t>cdisc.org</t>
    </r>
    <r>
      <rPr/>
      <t xml:space="preserve">
.
• CDISC owns the copyrights; after adoption, it grants participants a “nonexclusive, compensation‑free, non‑transferable, non‑sublicensable, worldwide, perpetual copyright license to reproduce, publish, display and distribute the Final Standard, but only pursuant to license terms provided on the CDISC website”
</t>
    </r>
    <r>
      <rPr>
        <color rgb="FF1155CC"/>
        <u/>
      </rPr>
      <t>cdisc.org</t>
    </r>
    <r>
      <rPr/>
      <t xml:space="preserve">
.
• “Any reproduction of the Final Standard must include all copyright and trademark notices and limitations from the original”
</t>
    </r>
    <r>
      <rPr>
        <color rgb="FF1155CC"/>
        <u/>
      </rPr>
      <t>cdisc.org</t>
    </r>
    <r>
      <rPr/>
      <t xml:space="preserve">
.</t>
    </r>
  </si>
  <si>
    <r>
      <rPr>
        <rFont val="Arial,sans-serif"/>
        <color rgb="FF1155CC"/>
        <sz val="11.0"/>
        <u/>
      </rPr>
      <t>FDA AI Devices</t>
    </r>
  </si>
  <si>
    <r>
      <rPr>
        <rFont val="Arial,sans-serif"/>
        <color rgb="FF1155CC"/>
        <sz val="11.0"/>
        <u/>
      </rPr>
      <t>HealthData.gov</t>
    </r>
  </si>
  <si>
    <t>Proprietary</t>
  </si>
  <si>
    <r>
      <rPr>
        <rFont val="Arial,sans-serif"/>
        <color rgb="FF1155CC"/>
        <sz val="11.0"/>
        <u/>
      </rPr>
      <t>ADRM Pharma</t>
    </r>
  </si>
  <si>
    <t>What is restricted:
• Unknown; since the data models are proprietary Microsoft‑owned assets, reuse likely requires a commercial license.
What is NOT restricted:
• No open‑source or public‑domain rights were identified.
As long as:
• You obtain explicit permission from ADRM Software/Microsoft before using or deriving from their models.</t>
  </si>
  <si>
    <t>Licensing terms not found on the publicly accessible page (site was unreachable). No license information was visible.</t>
  </si>
  <si>
    <r>
      <rPr>
        <rFont val="Arial,sans-serif"/>
        <color rgb="FF1155CC"/>
        <sz val="11.0"/>
        <u/>
      </rPr>
      <t>Advertising Data</t>
    </r>
  </si>
  <si>
    <r>
      <rPr>
        <rFont val="Arial,sans-serif"/>
        <color rgb="FF1155CC"/>
        <sz val="11.0"/>
        <u/>
      </rPr>
      <t>Game Datasets</t>
    </r>
  </si>
  <si>
    <r>
      <rPr>
        <rFont val="Arial,sans-serif"/>
        <color rgb="FF1155CC"/>
        <sz val="11.0"/>
        <u/>
      </rPr>
      <t>FCC Media</t>
    </r>
  </si>
  <si>
    <r>
      <rPr>
        <rFont val="Arial,sans-serif"/>
        <color rgb="FF1155CC"/>
        <sz val="11.0"/>
        <u/>
      </rPr>
      <t>MediaWell</t>
    </r>
  </si>
  <si>
    <r>
      <rPr>
        <rFont val="Arial,sans-serif"/>
        <color rgb="FF1155CC"/>
        <sz val="11.0"/>
        <u/>
      </rPr>
      <t>TM Forum SID</t>
    </r>
  </si>
  <si>
    <t>What is restricted:
• Cannot reproduce, modify, or distribute the data warehouse model without permission.
• Only personal, non‑commercial use is allowed; no derivative works.
What is NOT restricted:
• You may view and print one copy for personal reference.
As long as:
• You do not use the model for commercial purposes or publish derivative schemas.</t>
  </si>
  <si>
    <r>
      <rPr/>
      <t xml:space="preserve">from TM Forum – Website Terms of Use:
• “TM Forum materials are protected by United States and international copyright law”
</t>
    </r>
    <r>
      <rPr>
        <color rgb="FF1155CC"/>
        <u/>
      </rPr>
      <t>tmforum.org</t>
    </r>
    <r>
      <rPr/>
      <t xml:space="preserve">
.
• You may not “reproduce, distribute, modify, create derivative works, or bulk download any materials … without our express prior written permission”
</t>
    </r>
    <r>
      <rPr>
        <color rgb="FF1155CC"/>
        <u/>
      </rPr>
      <t>tmforum.org</t>
    </r>
    <r>
      <rPr/>
      <t xml:space="preserve">
.
• Only “one copy may be printed for your personal, non‑commercial use,” and materials must not be used for commercial purposes unless consistent with an applicable IP notice
</t>
    </r>
    <r>
      <rPr>
        <color rgb="FF1155CC"/>
        <u/>
      </rPr>
      <t>tmforum.org</t>
    </r>
    <r>
      <rPr/>
      <t xml:space="preserve">
.
• “You must not delete, alter or change any copyright or trademark notices”
</t>
    </r>
    <r>
      <rPr>
        <color rgb="FF1155CC"/>
        <u/>
      </rPr>
      <t>tmforum.org
.</t>
    </r>
  </si>
  <si>
    <r>
      <rPr>
        <rFont val="Arial,sans-serif"/>
        <color rgb="FF1155CC"/>
        <sz val="11.0"/>
        <u/>
      </rPr>
      <t>Transparency Project</t>
    </r>
  </si>
  <si>
    <r>
      <rPr>
        <rFont val="Arial,sans-serif"/>
        <color rgb="FF1155CC"/>
        <sz val="11.0"/>
        <u/>
      </rPr>
      <t>Replica Mobility</t>
    </r>
  </si>
  <si>
    <t>Not really a data model - this is more of a data simulation (model).</t>
  </si>
  <si>
    <t>Roberto Robles</t>
  </si>
  <si>
    <r>
      <rPr>
        <rFont val="Arial,sans-serif"/>
        <color rgb="FF1155CC"/>
        <sz val="11.0"/>
        <u/>
      </rPr>
      <t>Teradata THDM</t>
    </r>
  </si>
  <si>
    <t>What is restricted:
• Cannot redistribute, transfer, or sublicense the data model.
• Cannot modify or create derivative models without permission.
• Only internal use is permitted.
What is NOT restricted:
• Licensees may internally use the model as per subscription agreement.
• Open‑source components (if any) are governed separately.
As long as:
• You obtain a subscription license and use the model internally; no external publication or derivative creation.</t>
  </si>
  <si>
    <t>from Teradata License Terms:
• Teradata software and documentation, including data models, are provided under a “non‑transferable, non‑exclusive subscription license … for your internal use only”
teradata.com
.
• You “may not disclose, distribute or otherwise make the software or documentation available” and “may not make modifications, derivative works … or sublicense”
teradata.com
.
• “Some portions of the software may be provided under open source licenses … [which] govern your use of those portions”
teradata.com
.</t>
  </si>
  <si>
    <r>
      <rPr>
        <rFont val="Arial,sans-serif"/>
        <color rgb="FF1155CC"/>
        <sz val="11.0"/>
        <u/>
      </rPr>
      <t>Retail Datasets</t>
    </r>
  </si>
  <si>
    <r>
      <rPr>
        <rFont val="Arial,sans-serif"/>
        <color rgb="FF1155CC"/>
        <sz val="11.0"/>
        <u/>
      </rPr>
      <t>ADRM CPG</t>
    </r>
  </si>
  <si>
    <t>What is restricted:
• None indicated; royalty‑free use implies no licensing fees or derivative restrictions.
What is NOT restricted:
• Free to use the schemas; open access; no license fees.
• Encourages widespread adoption.
As long as:
• You follow the standard’s technical requirements.</t>
  </si>
  <si>
    <t xml:space="preserve">UBL “defines a royalty‑free library of standard XML business documents”
oasis-open.org
.
“The standardization of a proven, royalty‑free XML syntax will encourage the proliferation of inexpensive off‑the‑shelf software”
oasis-open.org
.
“UBL is available with open access … there are no license fees to use UBL”
oasis-open.org
.
https://www.oasis-open.org/committees/tc_home.php?wg_abbrev=ubl
</t>
  </si>
  <si>
    <t>What is restricted:
• Must give credit to MESA when using B2MML.
• Implied requirement not to remove attribution.
What is NOT restricted:
• Free to use and integrate the schemas without royalty.
• No license fees or membership required.
As long as:
• You provide proper credit to MESA in your implementation.</t>
  </si>
  <si>
    <t xml:space="preserve">B2MML “is a complete implementation of ISA‑95… Any company may use B2MML royalty free, provided credit is given to MESA”
mesa.org
.
https://mesa.org/topics-resources/b2mml/
</t>
  </si>
  <si>
    <t>What is restricted:
• Must preserve the Apache 2.0 license notice and comply with its conditions (e.g., include copyright and license text).
• Warranty disclaimer applies.
What is NOT restricted:
• Can be used commercially without restriction.
• Free to copy, modify, distribute, and fork the implementation.
As long as:
• You include the Apache 2.0 license notice in your derived model.</t>
  </si>
  <si>
    <r>
      <rPr/>
      <t xml:space="preserve">“S2OPC is published under the Apache 2.0 license, one of the most permissive licenses… This license guarantees commercial usage freedom… there is no ‘code contamination’… you can create your own fork”
</t>
    </r>
    <r>
      <rPr>
        <color rgb="FF1155CC"/>
        <u/>
      </rPr>
      <t>s2opc.com</t>
    </r>
    <r>
      <rPr/>
      <t xml:space="preserve">
.</t>
    </r>
  </si>
  <si>
    <r>
      <rPr>
        <rFont val="Arial,sans-serif"/>
        <color rgb="FF1155CC"/>
        <sz val="11.0"/>
        <u/>
      </rPr>
      <t>EPA Automotive Trends</t>
    </r>
  </si>
  <si>
    <t>What is restricted:
• May only redistribute the specification unmodified; cannot modify or create derivative versions.
• For use in a product (e.g., a derived data model), you must accept MTConnect’s Implementer License and IP Policy.
• Non‑transferable, non‑sublicensable rights.
What is NOT restricted:
• You may reproduce and redistribute the official document as is.
• No royalties for distribution of the unmodified specification.
As long as:
• You do not alter the specification and comply with the Implementer License when using it in a product.</t>
  </si>
  <si>
    <t xml:space="preserve">AMT grants “a non‑exclusive, non‑transferable, revocable, non‑sublicensable, fully‑paid‑up copyright license to reproduce, copy and redistribute this specification… provided that you may only copy or redistribute it in the form in which you received it, without modifications, and with all copyright notices…”
docs.mtconnect.org
.
To implement the specification in products, you must agree to the Implementer License or Intellectual Property Policy
docs.mtconnect.org
.
https://docs.mtconnect.org/ANSI_MTC1_6-2021_DRAFT.pdf
</t>
  </si>
  <si>
    <r>
      <rPr>
        <rFont val="Arial,sans-serif"/>
        <color rgb="FF1155CC"/>
        <sz val="11.0"/>
        <u/>
      </rPr>
      <t>Open Supply Hub</t>
    </r>
  </si>
  <si>
    <t>What is restricted:
• Data is subject to CC BY‑SA 4.0 share‑alike; derivative works must be shared under the same license.
• There is a download limit (5 000 facilities annually).
• Must provide attribution and not add additional restrictions.
What is NOT restricted:
• Data is openly available; free to use and adapt.
As long as:
• You comply with CC BY‑SA 4.0 (attribution and share‑alike) and respect download limits.</t>
  </si>
  <si>
    <t>from Open Supply Hub – FAQs:
• “All of the data in OS Hub, including OS IDs, is open and licensed under the Creative Commons ShareAlike 4.0 license”
info.opensupplyhub.org
.
• “Anyone can search, contribute or download data for free,” but there is a limit of “5,000 facility downloads per year”
info.opensupplyhub.org
.</t>
  </si>
  <si>
    <r>
      <rPr>
        <rFont val="Arial,sans-serif"/>
        <color rgb="FF1155CC"/>
        <sz val="11.0"/>
        <u/>
      </rPr>
      <t>Industrial Datasets</t>
    </r>
  </si>
  <si>
    <t>What is restricted:
• Must comply with the Apache 2.0 terms, including preserving the copyright notice and license statement.
• Warranty disclaimer applies (“AS IS”).
What is NOT restricted:
• Free to use, copy, modify, and distribute the schema.
• May create derivative works, including commercial use.
As long as:
• You include the Apache 2.0 license notice and any required attribution.</t>
  </si>
  <si>
    <t>“We have published the CIM 100 UML… under the Apache 2.0 license”
entsoe.eu
.
“TC57CIM package is copyright of UCAIug and licensed under Apache 2.0”
entsoe.eu
.</t>
  </si>
  <si>
    <r>
      <rPr>
        <rFont val="Arial,sans-serif"/>
        <color rgb="FF1155CC"/>
        <sz val="11.0"/>
        <u/>
      </rPr>
      <t>EIA Open Data</t>
    </r>
  </si>
  <si>
    <r>
      <rPr>
        <rFont val="Arial,sans-serif"/>
        <color rgb="FF1155CC"/>
        <sz val="11.0"/>
        <u/>
      </rPr>
      <t>Kaggle Datasets</t>
    </r>
  </si>
  <si>
    <r>
      <rPr>
        <rFont val="Arial,sans-serif"/>
        <color rgb="FF1155CC"/>
        <sz val="11.0"/>
        <u/>
      </rPr>
      <t>NREL Data Tools</t>
    </r>
  </si>
  <si>
    <r>
      <rPr>
        <rFont val="Arial,sans-serif"/>
        <color rgb="FF1155CC"/>
        <sz val="11.0"/>
        <u/>
      </rPr>
      <t>BetterGrids</t>
    </r>
  </si>
  <si>
    <t>Drew Triplett, Leo Mao</t>
  </si>
  <si>
    <t>Abhay Singh</t>
  </si>
  <si>
    <r>
      <rPr>
        <rFont val="Arial,sans-serif"/>
        <color rgb="FF1155CC"/>
        <sz val="11.0"/>
        <u/>
      </rPr>
      <t>Educational Data Mining</t>
    </r>
  </si>
  <si>
    <r>
      <rPr>
        <rFont val="Arial,sans-serif"/>
        <color rgb="FF1155CC"/>
        <sz val="11.0"/>
        <u/>
      </rPr>
      <t>Data.gov</t>
    </r>
  </si>
  <si>
    <r>
      <rPr>
        <rFont val="Arial,sans-serif"/>
        <color rgb="FF1155CC"/>
        <sz val="11.0"/>
        <u/>
      </rPr>
      <t>SaaS Benchmarks</t>
    </r>
  </si>
  <si>
    <r>
      <rPr>
        <rFont val="Arial,sans-serif"/>
        <color rgb="FF1155CC"/>
        <sz val="11.0"/>
        <u/>
      </rPr>
      <t>ISVWorld</t>
    </r>
  </si>
  <si>
    <r>
      <rPr>
        <rFont val="Arial,sans-serif"/>
        <color rgb="FF1155CC"/>
        <sz val="11.0"/>
        <u/>
      </rPr>
      <t>FIB-DM</t>
    </r>
  </si>
  <si>
    <t>Amr ~ LLM Example ones</t>
  </si>
  <si>
    <t>Listed in Marketplace already</t>
  </si>
  <si>
    <t>Time Zone</t>
  </si>
  <si>
    <t>Offset</t>
  </si>
  <si>
    <t>meeting</t>
  </si>
  <si>
    <t>Isaac Gritz</t>
  </si>
  <si>
    <t>PST</t>
  </si>
  <si>
    <t>CST</t>
  </si>
  <si>
    <t>1,2</t>
  </si>
  <si>
    <t>Franco Patano</t>
  </si>
  <si>
    <t>EST</t>
  </si>
  <si>
    <t>OG&amp;E (Utilities)</t>
  </si>
  <si>
    <t>Healthcare and Life Sciences (HLS)</t>
  </si>
  <si>
    <t>Shelley Shaffery</t>
  </si>
  <si>
    <t>Organizer</t>
  </si>
  <si>
    <t>Romina Kirchmaier</t>
  </si>
  <si>
    <t>Builder; Product</t>
  </si>
  <si>
    <t>-</t>
  </si>
  <si>
    <t>HLS</t>
  </si>
  <si>
    <t>Greenwich</t>
  </si>
  <si>
    <t>Advisor; tester; vision; experimenter</t>
  </si>
  <si>
    <t>Eastern</t>
  </si>
  <si>
    <t>Financial Services / Insurance</t>
  </si>
  <si>
    <t>Oslo</t>
  </si>
  <si>
    <t>Rome</t>
  </si>
  <si>
    <t>Advisor; Product</t>
  </si>
  <si>
    <t>David O'Keeffe</t>
  </si>
  <si>
    <t>Sydney</t>
  </si>
  <si>
    <t>Energy O&amp;G; Telco; FSI (interest)</t>
  </si>
  <si>
    <t>Builder; Advisor</t>
  </si>
  <si>
    <t>Media, Communications</t>
  </si>
  <si>
    <t>Builder, Advisor</t>
  </si>
  <si>
    <t>Meetings</t>
  </si>
  <si>
    <t xml:space="preserve">Tuesday 9am EST, 8am CST, 4pm Athens, 2pm Greenwich </t>
  </si>
  <si>
    <t>Tuesday 4pm EST, 1pm PST,  Wedensday 8am Sydney</t>
  </si>
  <si>
    <t>What they said</t>
  </si>
  <si>
    <t>Mike Cornell</t>
  </si>
  <si>
    <t>—</t>
  </si>
  <si>
    <t>Warned that standardized models have struggled; promoted using AI to generate contextual/domain models mapping data products to sources rather than trying to standardize across all industries.</t>
  </si>
  <si>
    <t>Banking (FSI)</t>
  </si>
  <si>
    <t>Offered to contribute Banking; later volunteered Advisor and Product roles for Banking.</t>
  </si>
  <si>
    <t>CMEG; RCT</t>
  </si>
  <si>
    <t>Interested in helping; has code assets to convert SQLs to metric views; experience automating metric view creation with customers; sees promise in FEIP; member of CMEG and RTC orgs.</t>
  </si>
  <si>
    <t>Consumer Goods &amp; Retail</t>
  </si>
  <si>
    <t>Volunteered as Advisor/Industry; leads data collaboration between retailers and suppliers where standardization is critical.</t>
  </si>
  <si>
    <t>Consumer/Retail</t>
  </si>
  <si>
    <t>MS bought ADRM but saw no adoption; partners’ common models can accelerate; suggested showing adaptation to published models via notebooks; cited DBDemos retail EDW demo using a common retail model.</t>
  </si>
  <si>
    <t>CPG</t>
  </si>
  <si>
    <t>Confirmed customers ask which models we have or how we can help them build their specific models.</t>
  </si>
  <si>
    <t>Cross‑industry</t>
  </si>
  <si>
    <t>Initiated the discussion on industry/common/OOTB data models; then organized a cross‑archetype FE working group (FEIP‑1812), with pilots, Google Group/Slack, archetype expectations, and a cadence; asked for volunteers and role clarity.</t>
  </si>
  <si>
    <t>Microsoft cautionary tale: strong industry selling/demos but poor adoption of shipped models; praised Wanderbricks dataset/demo; advised using models in demos/accelerators/apps and tools to convert to standards (e.g., FHIR).</t>
  </si>
  <si>
    <t>David O’Keeffe</t>
  </si>
  <si>
    <t>Cited Stonebraker: data integration is the biggest problem; pointed to Tamr/MDM and “data intelligence” to build models from disparate datasets; accelerate integration with AI for value.</t>
  </si>
  <si>
    <t>Kyle Hale</t>
  </si>
  <si>
    <t>Strongly urged consolidation under Amr’s FEIP umbrella to focus efforts as a “hyperdrive” project.</t>
  </si>
  <si>
    <t>Building a “data model matching” tool to map input datasets to target Delta schemas and generate transformation SQL; could accelerate mapping to industry models; added to FEIP.</t>
  </si>
  <si>
    <t>Prabhat Gupta</t>
  </si>
  <si>
    <t>Cross‑industry (Microsoft Fabric)</t>
  </si>
  <si>
    <t>Shared that Microsoft is transitioning Fabric Industry Data Models to GitHub by Nov 14, 2025; pointed to database templates.</t>
  </si>
  <si>
    <t>Joshua Green</t>
  </si>
  <si>
    <t>Cross‑industry (Ontologies)</t>
  </si>
  <si>
    <t>Highlighted industry ontologies (CDISC, FIBO, ICARUS); stressed modeling business vs data; referenced Netflix UDA; noted Ontos work to map into UC.</t>
  </si>
  <si>
    <t>Kristin Dahl</t>
  </si>
  <si>
    <t>Cybersecurity</t>
  </si>
  <si>
    <t>Supported FEIP consolidation; shared EMU demo for ingesting CrowdStrike and transforming to OCSF (Drive link).</t>
  </si>
  <si>
    <t>Bryan Schaefer</t>
  </si>
  <si>
    <t>Cybersecurity; Oil &amp; Gas/Energy</t>
  </si>
  <si>
    <t>Guides modeling with OCSF; partners build for OCSF; Sigma used for detection rules; later tested LLM mapping to OCSF with promising results.</t>
  </si>
  <si>
    <t>Energy &amp; Utilities (CIM)</t>
  </si>
  <si>
    <t>Noted utilities’ Common Information Model (CIM); shared a 5‑minute demo recording; volunteered Industry: OG&amp;E (utilities), can support Builder.</t>
  </si>
  <si>
    <t>Energy O&amp;G; Retail; FSI (interest)</t>
  </si>
  <si>
    <t>Customers increasingly ask for standardized models; emphasized metrics/KPIs and governed semantic layers; demo/accelerator starting points; volunteered Builder/Advisor with pilot preference for Energy O&amp;G or Retail (also FSI).</t>
  </si>
  <si>
    <t>Financial Services (Capital Markets)</t>
  </si>
  <si>
    <t>Many domains have evolving business models and messy physical implementations; hopes FINOS adoption; derivatives are an outlier due to rapid product evolution.</t>
  </si>
  <si>
    <t>Financial Services &amp; Insurance</t>
  </si>
  <si>
    <t>Reported a customer ask for Databricks’ financial and insurance models.</t>
  </si>
  <si>
    <t>Games</t>
  </si>
  <si>
    <t>Working toward a standard MVP Player360 data model for player‑centric use cases; expects a first view with client input.</t>
  </si>
  <si>
    <t>Healthcare &amp; Life Sciences (HLS)</t>
  </si>
  <si>
    <t>Reported HLS adoption of OMOP, ADAM, SDTM and partner‑specific models; rising customer interest and consortia; volunteered Industry: HLS.</t>
  </si>
  <si>
    <t>Canonical industry models rarely accelerate adoption; semantic joins/aggregations across ISV APIs influenced a Fabric decision; execs like models, engineers often disregard them when building.</t>
  </si>
  <si>
    <t>Standard models miss nuanced sources; customers care about KPIs (e.g., OTIF/OTD); proposed industry‑specific source mappings and bronze/silver/gold join criteria; later volunteered Builder + Product (HLS).</t>
  </si>
  <si>
    <t>HLS (Genomics)</t>
  </si>
  <si>
    <t>Offered to work on a whole‑genome data model within medallion architecture.</t>
  </si>
  <si>
    <t>HLS (Healthcare)</t>
  </si>
  <si>
    <t>Hears FHIR requests; lost EDW pattern to Fabric due to models; asked positioning for OMOP vs Fabric; volunteered HLS (FHIR/OMOP).</t>
  </si>
  <si>
    <t>HLS (Life Sciences)</t>
  </si>
  <si>
    <t>Offered help with HLS data standards, especially CDISC.</t>
  </si>
  <si>
    <t>Industrials</t>
  </si>
  <si>
    <t>Supported incorporating industry models in demos; referenced David Rogers’ doc; later urged consolidation under FEIP.</t>
  </si>
  <si>
    <t>Agreed with demo incorporation; optimistic about near‑term AI agent capabilities; supported the initiative.</t>
  </si>
  <si>
    <t>Oliver Koernig</t>
  </si>
  <si>
    <t>Insurance models: IBM paywalled/not maintained; ACORD paywalled; OMG P&amp;C exists but lacks traction; suggested reviving OMG model and contributing to open models (e.g., FINOS CDM).</t>
  </si>
  <si>
    <t>Common MFG asks; partners (Deloitte, Tredence) engaged; L0–L3 formats must blend with L4–L5 (SAP/CRM); wants OOTB starting points but notes high sub‑vertical variation.</t>
  </si>
  <si>
    <t>Shared UNS/ISA‑95 manufacturing context; asked about Lakeflow adoption and partner tools for migration/modernization.</t>
  </si>
  <si>
    <t>Multiple (Airlines, O&amp;G, Insurance)</t>
  </si>
  <si>
    <t>Used AI to generate industry models and Databricks DDLs (tables, tags, quality rules); shared sample models; advocated business‑specific models with contextual metadata; volunteered to lead/organize the Builder track.</t>
  </si>
  <si>
    <t>PODS often desired but rarely implemented; knowledge of models is a shibboleth signaling industry familiarity—more marketing than technical.</t>
  </si>
  <si>
    <t>Oil &amp; Gas (customer ask)</t>
  </si>
  <si>
    <t>Large O&amp;G customer wants AI for UNSPSC classifications; Snowflake AI failed; requested experience/support; shared UNGM links and hierarchy overview.</t>
  </si>
  <si>
    <t>Oil &amp; Gas (O&amp;G)</t>
  </si>
  <si>
    <t>Working with PODS, PPDM, CFIHOS, WITSML/PRODML, OSDU; urged “don’t let perfect block better,” align synthetic data to industry models, share UC‑ready DDLs; converted PPDM to Databricks SQL.</t>
  </si>
  <si>
    <t>Oil &amp; Gas; Mining</t>
  </si>
  <si>
    <t>Framed OSDU as an industry data platform with schemas (PPDM foundational); Databricks member of OSDU Forum; approach: expose OSDU schemas in UC via Lakeflow Connect/Delta Sharing; named customers (Shell, Chevron, Petrobras, BP); MS partnership announcement expected soon.</t>
  </si>
  <si>
    <t>Public Sector (FS/Insurance interest)</t>
  </si>
  <si>
    <t>Proposed adding a semantic model with primary metrics atop industry models; aspirational AI agent to generate ETL + semantic; volunteered Advisor (tester/vision/experimenter); pilot FS/Insurance.</t>
  </si>
  <si>
    <t>SIs (e.g., Tredence) sell common data models post‑migration, driving new consumption; cited Dick’s Sporting Goods and Publix examples.</t>
  </si>
  <si>
    <t>Meijer adopted Azure Retail Data Model with high effort and little gain; now reversing; argued acceleration comes from best‑practice standardization, not the model itself.</t>
  </si>
  <si>
    <t>Retail/Consumer (RCT)</t>
  </si>
  <si>
    <t>Volunteered RCT; asked for clear role assignments; later offered Advisor/Industry contributions with Roberto.</t>
  </si>
  <si>
    <t>Peyman Mohajerian</t>
  </si>
  <si>
    <t>Built RCT models from SAP’s open model, added Genie/dashboards; suggested positioning as flexible starters vs rigid schemas; wants broader initiative despite modest initial interest.</t>
  </si>
  <si>
    <t>Everett Dittman</t>
  </si>
  <si>
    <t>SAP (Cross‑industry)</t>
  </si>
  <si>
    <t>For SAP RISE customers, suggested leveraging Data Products for similar effects.</t>
  </si>
  <si>
    <t>Contacts</t>
  </si>
  <si>
    <t>Priorities</t>
  </si>
  <si>
    <t>Omap &amp; FHIR</t>
  </si>
  <si>
    <t>Have Assets already around FHIR</t>
  </si>
  <si>
    <t>Meeting Date</t>
  </si>
  <si>
    <t>Attendees</t>
  </si>
  <si>
    <t>Assets:</t>
  </si>
  <si>
    <t>Amir Kermany, Rob Signoretti</t>
  </si>
  <si>
    <t xml:space="preserve">
FHIR model covers exchange of health information (operational)
OMAP is analytical-ready data model (analytical).
STDM is clinical model standard.
DBignite is essentially a parser. It ingests FHIR bundles (FHIR is like a protocol), and converts it to structured data. It also goes in reverse.
FHIR --&gt; OMOP is kind of covered, but could be more built out. Data Harmonization &amp; Ontology is covered, but it's an old version.
OMOP -&gt; STDM would be really valuable."
FHIR AND OMAP should be the priorities</t>
  </si>
  <si>
    <r>
      <rPr/>
      <t xml:space="preserve">https://github.com/databricks-industry-solutions/omop-cdm
</t>
    </r>
    <r>
      <rPr>
        <color rgb="FF1155CC"/>
        <u/>
      </rPr>
      <t xml:space="preserve">https://github.com/databricks-industry-solutions/dbignite
</t>
    </r>
    <r>
      <rPr/>
      <t>Amir also has a 100k OMAP dataset</t>
    </r>
  </si>
  <si>
    <t>Sam is interested in the SDTM model for pharma; he has a few contacts and wants to look into the copyright component and ask some of his contacts.</t>
  </si>
  <si>
    <t xml:space="preserve">Lead on Telco, specifically TM Forum </t>
  </si>
  <si>
    <t>Lead on Gaming</t>
  </si>
  <si>
    <t>Hunting Buckley</t>
  </si>
  <si>
    <t>Advisor / overseeing Gaming</t>
  </si>
  <si>
    <t>™ Forum Model for Telco</t>
  </si>
  <si>
    <t>Custom Model for Gaming</t>
  </si>
  <si>
    <t>Both are in progress</t>
  </si>
  <si>
    <t xml:space="preserve">We have a cooperation with TM forum, which is the foundational data model for Telco. 
For gaming, we are also developing a custom data model for Gaming. </t>
  </si>
  <si>
    <r>
      <rPr>
        <rFont val="Arial"/>
        <b/>
        <color theme="1"/>
      </rPr>
      <t xml:space="preserve">Telecommunications: </t>
    </r>
    <r>
      <rPr>
        <rFont val="Arial"/>
        <color theme="1"/>
      </rPr>
      <t xml:space="preserve">Osama is actively working on a DDL for the  TM forum Telecommunications, he thinks having the DDL code + genie + dashboard is the correct MVP.
</t>
    </r>
    <r>
      <rPr>
        <rFont val="Arial"/>
        <b/>
        <color theme="1"/>
      </rPr>
      <t xml:space="preserve">Gaming: </t>
    </r>
    <r>
      <rPr>
        <rFont val="Arial"/>
        <color theme="1"/>
      </rPr>
      <t>Huntting Buckley is working on creaitng a custom Databricks model, that's a combination of many data models. Shashank Kava. Have a goal of having a data model with assets in March.</t>
    </r>
  </si>
  <si>
    <t>CIM</t>
  </si>
  <si>
    <t>Drew Triplett
David Morton
Leo Mao
Rodrigo Martins</t>
  </si>
  <si>
    <t>OSDU ~ Rodrigo Martins focus as Advisor (maybe builder?)
CIM for Power and Energy ~ Drew</t>
  </si>
  <si>
    <t>Abhay said that in Manufacturing there is a lot of interest for the OSDU project.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</si>
</sst>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d/yy"/>
    <numFmt numFmtId="166" formatCode="m/d/yyyy"/>
  </numFmts>
  <fonts count="37">
    <font>
      <sz val="10.0"/>
      <color rgb="FF000000"/>
      <name val="Arial"/>
      <scheme val="minor"/>
    </font>
    <font>
      <color theme="1"/>
      <name val="Arial"/>
      <scheme val="minor"/>
    </font>
    <font>
      <b/>
      <color theme="1"/>
      <name val="Arial"/>
      <scheme val="minor"/>
    </font>
    <font>
      <u/>
      <color theme="1"/>
      <name val="Arial"/>
      <scheme val="minor"/>
    </font>
    <font>
      <color rgb="FF434343"/>
      <name val="Roboto"/>
    </font>
    <font>
      <b/>
      <color rgb="FF434343"/>
      <name val="Roboto"/>
    </font>
    <font>
      <color theme="1"/>
      <name val="Arial"/>
    </font>
    <font>
      <u/>
      <color rgb="FF434343"/>
      <name val="Roboto"/>
    </font>
    <font>
      <u/>
      <color rgb="FF434343"/>
      <name val="Roboto"/>
    </font>
    <font>
      <u/>
      <color rgb="FF0000FF"/>
      <name val="Roboto"/>
    </font>
    <font>
      <b/>
      <sz val="11.0"/>
      <color theme="1"/>
      <name val="Arial"/>
    </font>
    <font>
      <sz val="11.0"/>
      <color rgb="FF000000"/>
      <name val="Arial"/>
    </font>
    <font>
      <u/>
      <sz val="11.0"/>
      <color rgb="FF0000FF"/>
      <name val="Arial"/>
    </font>
    <font>
      <u/>
      <sz val="11.0"/>
      <color rgb="FF0000FF"/>
      <name val="Arial"/>
    </font>
    <font>
      <sz val="11.0"/>
      <color theme="1"/>
      <name val="Arial"/>
    </font>
    <font>
      <u/>
      <sz val="11.0"/>
      <color rgb="FF0000FF"/>
      <name val="Arial"/>
    </font>
    <font>
      <b/>
      <sz val="14.0"/>
      <color theme="1"/>
      <name val="Arial"/>
      <scheme val="minor"/>
    </font>
    <font>
      <color rgb="FF1F1F1F"/>
      <name val="&quot;Google Sans Text&quot;"/>
    </font>
    <font>
      <b/>
      <sz val="11.0"/>
      <color rgb="FF000000"/>
      <name val="Arial"/>
    </font>
    <font>
      <u/>
      <color rgb="FF0000FF"/>
    </font>
    <font/>
    <font>
      <b/>
      <sz val="11.0"/>
      <color theme="1"/>
      <name val="Arial"/>
      <scheme val="minor"/>
    </font>
    <font>
      <b/>
      <color rgb="FF1F1F1F"/>
      <name val="&quot;Google Sans Text&quot;"/>
    </font>
    <font>
      <b/>
      <sz val="10.0"/>
      <color rgb="FFFFFFFF"/>
      <name val="Arial"/>
      <scheme val="minor"/>
    </font>
    <font>
      <sz val="10.0"/>
      <color rgb="FFFFFFFF"/>
      <name val="Arial"/>
      <scheme val="minor"/>
    </font>
    <font>
      <sz val="9.0"/>
      <color theme="1"/>
      <name val="Arial"/>
      <scheme val="minor"/>
    </font>
    <font>
      <strike/>
      <color theme="1"/>
      <name val="Arial"/>
      <scheme val="minor"/>
    </font>
    <font>
      <b/>
      <u/>
      <color theme="1"/>
      <name val="Arial"/>
      <scheme val="minor"/>
    </font>
    <font>
      <b/>
      <color rgb="FFFFFFFF"/>
      <name val="Arial"/>
      <scheme val="minor"/>
    </font>
    <font>
      <sz val="11.0"/>
      <color rgb="FF292A2E"/>
      <name val="&quot;Atlassian Sans&quot;"/>
    </font>
    <font>
      <u/>
      <color rgb="FF0000FF"/>
      <name val="Roboto"/>
    </font>
    <font>
      <u/>
      <color rgb="FF434343"/>
      <name val="Roboto"/>
    </font>
    <font>
      <sz val="11.0"/>
      <color rgb="FF1F1F1F"/>
      <name val="&quot;Google Sans Text&quot;"/>
    </font>
    <font>
      <sz val="11.0"/>
      <color rgb="FF444746"/>
      <name val="&quot;Google Sans Text&quot;"/>
    </font>
    <font>
      <b/>
      <color rgb="FF000000"/>
      <name val="Helvetica Neue"/>
    </font>
    <font>
      <color rgb="FF000000"/>
      <name val="Helvetica Neue"/>
    </font>
    <font>
      <u/>
      <color rgb="FF0000FF"/>
    </font>
  </fonts>
  <fills count="13">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EA9999"/>
        <bgColor rgb="FFEA9999"/>
      </patternFill>
    </fill>
    <fill>
      <patternFill patternType="solid">
        <fgColor rgb="FF195933"/>
        <bgColor rgb="FF195933"/>
      </patternFill>
    </fill>
    <fill>
      <patternFill patternType="solid">
        <fgColor rgb="FFBDBDBD"/>
        <bgColor rgb="FFBDBDBD"/>
      </patternFill>
    </fill>
    <fill>
      <patternFill patternType="solid">
        <fgColor rgb="FFF3F3F3"/>
        <bgColor rgb="FFF3F3F3"/>
      </patternFill>
    </fill>
    <fill>
      <patternFill patternType="solid">
        <fgColor rgb="FF38761D"/>
        <bgColor rgb="FF38761D"/>
      </patternFill>
    </fill>
    <fill>
      <patternFill patternType="solid">
        <fgColor rgb="FFCC0000"/>
        <bgColor rgb="FFCC0000"/>
      </patternFill>
    </fill>
    <fill>
      <patternFill patternType="solid">
        <fgColor rgb="FFB0B3B2"/>
        <bgColor rgb="FFB0B3B2"/>
      </patternFill>
    </fill>
    <fill>
      <patternFill patternType="solid">
        <fgColor rgb="FFD4D4D4"/>
        <bgColor rgb="FFD4D4D4"/>
      </patternFill>
    </fill>
    <fill>
      <patternFill patternType="solid">
        <fgColor rgb="FFF1C232"/>
        <bgColor rgb="FFF1C232"/>
      </patternFill>
    </fill>
  </fills>
  <borders count="8">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2" numFmtId="0" xfId="0" applyAlignment="1" applyFill="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horizontal="right" readingOrder="0" shrinkToFit="0" vertical="center" wrapText="0"/>
    </xf>
    <xf borderId="0" fillId="0" fontId="1" numFmtId="0" xfId="0" applyAlignment="1" applyFont="1">
      <alignment readingOrder="0" shrinkToFit="0" vertical="center" wrapText="0"/>
    </xf>
    <xf borderId="1" fillId="3" fontId="4" numFmtId="0" xfId="0" applyAlignment="1" applyBorder="1" applyFill="1" applyFont="1">
      <alignment shrinkToFit="0" vertical="center" wrapText="0"/>
    </xf>
    <xf borderId="2" fillId="3" fontId="5" numFmtId="0" xfId="0" applyAlignment="1" applyBorder="1" applyFont="1">
      <alignment shrinkToFit="0" vertical="center" wrapText="0"/>
    </xf>
    <xf borderId="2" fillId="3" fontId="4" numFmtId="0" xfId="0" applyAlignment="1" applyBorder="1" applyFont="1">
      <alignment readingOrder="0" shrinkToFit="0" vertical="center" wrapText="1"/>
    </xf>
    <xf borderId="2" fillId="3" fontId="6" numFmtId="0" xfId="0" applyAlignment="1" applyBorder="1" applyFont="1">
      <alignment shrinkToFit="0" vertical="center" wrapText="0"/>
    </xf>
    <xf borderId="2" fillId="3" fontId="7" numFmtId="0" xfId="0" applyAlignment="1" applyBorder="1" applyFont="1">
      <alignment shrinkToFit="0" vertical="center" wrapText="0"/>
    </xf>
    <xf borderId="2" fillId="3" fontId="4" numFmtId="164" xfId="0" applyAlignment="1" applyBorder="1" applyFont="1" applyNumberFormat="1">
      <alignment horizontal="right" shrinkToFit="0" vertical="center" wrapText="0"/>
    </xf>
    <xf borderId="2" fillId="3" fontId="4" numFmtId="0" xfId="0" applyAlignment="1" applyBorder="1" applyFont="1">
      <alignment shrinkToFit="0" vertical="center" wrapText="0"/>
    </xf>
    <xf borderId="2" fillId="3" fontId="6" numFmtId="0" xfId="0" applyAlignment="1" applyBorder="1" applyFont="1">
      <alignment shrinkToFit="0" vertical="center" wrapText="0"/>
    </xf>
    <xf borderId="3" fillId="3" fontId="8" numFmtId="0" xfId="0" applyAlignment="1" applyBorder="1" applyFont="1">
      <alignment shrinkToFit="0" vertical="center" wrapText="0"/>
    </xf>
    <xf borderId="0" fillId="0" fontId="6" numFmtId="0" xfId="0" applyAlignment="1" applyFont="1">
      <alignment vertical="bottom"/>
    </xf>
    <xf borderId="0" fillId="0" fontId="9" numFmtId="0" xfId="0" applyAlignment="1" applyFont="1">
      <alignment readingOrder="0" shrinkToFit="0" vertical="center" wrapText="0"/>
    </xf>
    <xf borderId="0" fillId="0" fontId="1" numFmtId="165" xfId="0" applyAlignment="1" applyFont="1" applyNumberFormat="1">
      <alignment horizontal="right" readingOrder="0" shrinkToFit="0" vertical="center" wrapText="0"/>
    </xf>
    <xf borderId="0" fillId="0" fontId="1" numFmtId="0" xfId="0" applyAlignment="1" applyFont="1">
      <alignment shrinkToFit="0" vertical="center" wrapText="0"/>
    </xf>
    <xf borderId="0" fillId="0" fontId="1" numFmtId="0" xfId="0" applyAlignment="1" applyFont="1">
      <alignment readingOrder="0"/>
    </xf>
    <xf borderId="0" fillId="0" fontId="2" numFmtId="0" xfId="0" applyAlignment="1" applyFont="1">
      <alignment horizontal="left" readingOrder="0" shrinkToFit="0" vertical="center" wrapText="1"/>
    </xf>
    <xf borderId="0" fillId="0" fontId="10" numFmtId="0" xfId="0" applyAlignment="1" applyFont="1">
      <alignment horizontal="center" readingOrder="0" shrinkToFit="0" vertical="center" wrapText="1"/>
    </xf>
    <xf borderId="0" fillId="0" fontId="10" numFmtId="49"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readingOrder="0" shrinkToFit="0" wrapText="1"/>
    </xf>
    <xf borderId="0" fillId="0" fontId="1" numFmtId="0" xfId="0" applyAlignment="1" applyFont="1">
      <alignment readingOrder="0" shrinkToFit="0" wrapText="1"/>
    </xf>
    <xf borderId="0" fillId="0" fontId="11"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4" fontId="2" numFmtId="0" xfId="0" applyAlignment="1" applyFill="1" applyFont="1">
      <alignment readingOrder="0" shrinkToFit="0" vertical="center" wrapText="0"/>
    </xf>
    <xf borderId="0" fillId="4" fontId="1" numFmtId="0" xfId="0" applyAlignment="1" applyFont="1">
      <alignment readingOrder="0" shrinkToFit="0" vertical="center" wrapText="1"/>
    </xf>
    <xf borderId="0" fillId="4" fontId="11"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4" fontId="1" numFmtId="0" xfId="0" applyAlignment="1" applyFont="1">
      <alignment readingOrder="0" shrinkToFit="0" vertical="center" wrapText="0"/>
    </xf>
    <xf borderId="0" fillId="4" fontId="11" numFmtId="0" xfId="0" applyAlignment="1" applyFont="1">
      <alignment readingOrder="0" shrinkToFit="0" vertical="center" wrapText="1"/>
    </xf>
    <xf borderId="0" fillId="4" fontId="15" numFmtId="0" xfId="0" applyAlignment="1" applyFont="1">
      <alignment horizontal="left"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0"/>
    </xf>
    <xf borderId="0" fillId="0" fontId="1" numFmtId="0" xfId="0" applyAlignment="1" applyFont="1">
      <alignment readingOrder="0" shrinkToFit="0" vertical="center" wrapText="1"/>
    </xf>
    <xf borderId="0" fillId="0" fontId="11"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14"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wrapText="1"/>
    </xf>
    <xf borderId="0" fillId="0" fontId="16" numFmtId="0" xfId="0" applyAlignment="1" applyFont="1">
      <alignment readingOrder="0"/>
    </xf>
    <xf borderId="4" fillId="0" fontId="2" numFmtId="0" xfId="0" applyAlignment="1" applyBorder="1" applyFont="1">
      <alignment readingOrder="0"/>
    </xf>
    <xf borderId="4" fillId="0" fontId="17" numFmtId="0" xfId="0" applyAlignment="1" applyBorder="1" applyFont="1">
      <alignment readingOrder="0"/>
    </xf>
    <xf borderId="4" fillId="0" fontId="1" numFmtId="0" xfId="0" applyAlignment="1" applyBorder="1" applyFont="1">
      <alignment readingOrder="0"/>
    </xf>
    <xf borderId="4" fillId="0" fontId="1" numFmtId="0" xfId="0" applyAlignment="1" applyBorder="1" applyFont="1">
      <alignment readingOrder="0"/>
    </xf>
    <xf borderId="4" fillId="0" fontId="1" numFmtId="0" xfId="0" applyBorder="1" applyFont="1"/>
    <xf borderId="4" fillId="0" fontId="18" numFmtId="0" xfId="0" applyAlignment="1" applyBorder="1" applyFont="1">
      <alignment horizontal="left" readingOrder="0" shrinkToFit="0" vertical="center" wrapText="1"/>
    </xf>
    <xf borderId="4" fillId="0" fontId="18" numFmtId="0" xfId="0" applyAlignment="1" applyBorder="1" applyFont="1">
      <alignment horizontal="left" readingOrder="0" shrinkToFit="0" wrapText="1"/>
    </xf>
    <xf borderId="4" fillId="0" fontId="2" numFmtId="0" xfId="0" applyAlignment="1" applyBorder="1" applyFont="1">
      <alignment readingOrder="0" shrinkToFit="0" wrapText="0"/>
    </xf>
    <xf borderId="5" fillId="0" fontId="18" numFmtId="0" xfId="0" applyAlignment="1" applyBorder="1" applyFont="1">
      <alignment horizontal="left" readingOrder="0" shrinkToFit="0" vertical="center" wrapText="1"/>
    </xf>
    <xf borderId="4" fillId="0" fontId="11" numFmtId="0" xfId="0" applyAlignment="1" applyBorder="1" applyFont="1">
      <alignment horizontal="left" readingOrder="0" shrinkToFit="0" wrapText="1"/>
    </xf>
    <xf borderId="4" fillId="0" fontId="19" numFmtId="0" xfId="0" applyAlignment="1" applyBorder="1" applyFont="1">
      <alignment readingOrder="0" shrinkToFit="0" wrapText="0"/>
    </xf>
    <xf borderId="6" fillId="0" fontId="20" numFmtId="0" xfId="0" applyBorder="1" applyFont="1"/>
    <xf borderId="7" fillId="0" fontId="20" numFmtId="0" xfId="0" applyBorder="1" applyFont="1"/>
    <xf borderId="5" fillId="0" fontId="21" numFmtId="0" xfId="0" applyAlignment="1" applyBorder="1" applyFont="1">
      <alignment readingOrder="0" vertical="center"/>
    </xf>
    <xf borderId="4" fillId="0" fontId="22" numFmtId="0" xfId="0" applyAlignment="1" applyBorder="1" applyFont="1">
      <alignment readingOrder="0"/>
    </xf>
    <xf borderId="0" fillId="0" fontId="1" numFmtId="0" xfId="0" applyAlignment="1" applyFont="1">
      <alignment shrinkToFit="0" wrapText="0"/>
    </xf>
    <xf borderId="4" fillId="5" fontId="23" numFmtId="0" xfId="0" applyAlignment="1" applyBorder="1" applyFill="1" applyFont="1">
      <alignment horizontal="center" readingOrder="0" shrinkToFit="0" vertical="center" wrapText="1"/>
    </xf>
    <xf borderId="4" fillId="5" fontId="24" numFmtId="0" xfId="0" applyAlignment="1" applyBorder="1" applyFont="1">
      <alignment horizontal="center" readingOrder="0" shrinkToFit="0" vertical="center" wrapText="1"/>
    </xf>
    <xf borderId="4" fillId="0" fontId="25" numFmtId="0" xfId="0" applyAlignment="1" applyBorder="1" applyFont="1">
      <alignment readingOrder="0" shrinkToFit="0" vertical="center" wrapText="1"/>
    </xf>
    <xf borderId="4" fillId="0" fontId="1" numFmtId="0" xfId="0" applyAlignment="1" applyBorder="1" applyFont="1">
      <alignment readingOrder="0" vertical="center"/>
    </xf>
    <xf borderId="4" fillId="0" fontId="1" numFmtId="0" xfId="0" applyAlignment="1" applyBorder="1" applyFont="1">
      <alignment readingOrder="0" shrinkToFit="0" vertical="center" wrapText="1"/>
    </xf>
    <xf borderId="4" fillId="0" fontId="2" numFmtId="0" xfId="0" applyAlignment="1" applyBorder="1" applyFont="1">
      <alignment readingOrder="0" vertical="center"/>
    </xf>
    <xf borderId="4" fillId="6" fontId="1" numFmtId="0" xfId="0" applyAlignment="1" applyBorder="1" applyFill="1" applyFont="1">
      <alignment readingOrder="0" vertical="center"/>
    </xf>
    <xf borderId="4" fillId="6" fontId="26" numFmtId="0" xfId="0" applyAlignment="1" applyBorder="1" applyFont="1">
      <alignment readingOrder="0" vertical="center"/>
    </xf>
    <xf borderId="4" fillId="3" fontId="1" numFmtId="0" xfId="0" applyAlignment="1" applyBorder="1" applyFont="1">
      <alignment readingOrder="0" vertical="center"/>
    </xf>
    <xf borderId="4" fillId="3" fontId="26" numFmtId="0" xfId="0" applyAlignment="1" applyBorder="1" applyFont="1">
      <alignment readingOrder="0" vertical="center"/>
    </xf>
    <xf borderId="4" fillId="7" fontId="1" numFmtId="0" xfId="0" applyAlignment="1" applyBorder="1" applyFill="1" applyFont="1">
      <alignment readingOrder="0" vertical="center"/>
    </xf>
    <xf borderId="4" fillId="7" fontId="26" numFmtId="0" xfId="0" applyAlignment="1" applyBorder="1" applyFont="1">
      <alignment readingOrder="0" vertical="center"/>
    </xf>
    <xf borderId="4" fillId="0" fontId="27" numFmtId="0" xfId="0" applyAlignment="1" applyBorder="1" applyFont="1">
      <alignment readingOrder="0" vertical="center"/>
    </xf>
    <xf borderId="4" fillId="0" fontId="1" numFmtId="0" xfId="0" applyAlignment="1" applyBorder="1" applyFont="1">
      <alignment readingOrder="0" vertical="center"/>
    </xf>
    <xf borderId="4" fillId="0" fontId="26" numFmtId="0" xfId="0" applyAlignment="1" applyBorder="1" applyFont="1">
      <alignment readingOrder="0"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2" numFmtId="0" xfId="0" applyAlignment="1" applyFont="1">
      <alignment readingOrder="0" vertical="center"/>
    </xf>
    <xf borderId="0" fillId="0" fontId="1" numFmtId="0" xfId="0" applyAlignment="1" applyFont="1">
      <alignment readingOrder="0" vertical="center"/>
    </xf>
    <xf borderId="0" fillId="0" fontId="26" numFmtId="0" xfId="0" applyAlignment="1" applyFont="1">
      <alignment readingOrder="0" vertical="center"/>
    </xf>
    <xf borderId="0" fillId="8" fontId="28" numFmtId="0" xfId="0" applyAlignment="1" applyFill="1" applyFont="1">
      <alignment readingOrder="0"/>
    </xf>
    <xf borderId="0" fillId="0" fontId="1" numFmtId="165" xfId="0" applyAlignment="1" applyFont="1" applyNumberFormat="1">
      <alignment readingOrder="0"/>
    </xf>
    <xf borderId="0" fillId="3" fontId="29" numFmtId="0" xfId="0" applyAlignment="1" applyFont="1">
      <alignment readingOrder="0" shrinkToFit="0" wrapText="0"/>
    </xf>
    <xf borderId="0" fillId="9" fontId="2" numFmtId="49" xfId="0" applyAlignment="1" applyFill="1" applyFont="1" applyNumberFormat="1">
      <alignment horizontal="left" readingOrder="0" shrinkToFit="0" vertical="center" wrapText="1"/>
    </xf>
    <xf borderId="0" fillId="0" fontId="1" numFmtId="0" xfId="0" applyAlignment="1" applyFont="1">
      <alignment readingOrder="0" shrinkToFit="0" vertical="center" wrapText="1"/>
    </xf>
    <xf borderId="0" fillId="0" fontId="30"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1" numFmtId="0" xfId="0" applyAlignment="1" applyFont="1">
      <alignment readingOrder="0" shrinkToFit="0" vertical="center" wrapText="1"/>
    </xf>
    <xf borderId="0" fillId="0" fontId="31" numFmtId="0" xfId="0" applyAlignment="1" applyFont="1">
      <alignment readingOrder="0" shrinkToFit="0" vertical="center" wrapText="1"/>
    </xf>
    <xf borderId="0" fillId="0" fontId="2" numFmtId="0" xfId="0" applyAlignment="1" applyFont="1">
      <alignment readingOrder="0"/>
    </xf>
    <xf borderId="0" fillId="0" fontId="32" numFmtId="0" xfId="0" applyAlignment="1" applyFont="1">
      <alignment horizontal="left" readingOrder="0" shrinkToFit="0" wrapText="0"/>
    </xf>
    <xf borderId="0" fillId="3" fontId="32" numFmtId="0" xfId="0" applyAlignment="1" applyFont="1">
      <alignment horizontal="left" readingOrder="0" shrinkToFit="0" wrapText="0"/>
    </xf>
    <xf borderId="0" fillId="0" fontId="33" numFmtId="0" xfId="0" applyAlignment="1" applyFont="1">
      <alignment horizontal="left" readingOrder="0" shrinkToFit="0" wrapText="0"/>
    </xf>
    <xf borderId="0" fillId="0" fontId="1" numFmtId="0" xfId="0" applyFont="1"/>
    <xf borderId="4" fillId="10" fontId="34" numFmtId="0" xfId="0" applyAlignment="1" applyBorder="1" applyFill="1" applyFont="1">
      <alignment readingOrder="0" vertical="top"/>
    </xf>
    <xf borderId="4" fillId="11" fontId="34" numFmtId="0" xfId="0" applyAlignment="1" applyBorder="1" applyFill="1" applyFont="1">
      <alignment readingOrder="0" vertical="top"/>
    </xf>
    <xf borderId="4" fillId="0" fontId="35" numFmtId="0" xfId="0" applyAlignment="1" applyBorder="1" applyFont="1">
      <alignment readingOrder="0" vertical="top"/>
    </xf>
    <xf borderId="0" fillId="12" fontId="2" numFmtId="0" xfId="0" applyAlignment="1" applyFill="1" applyFont="1">
      <alignment readingOrder="0"/>
    </xf>
    <xf borderId="0" fillId="0" fontId="1" numFmtId="166" xfId="0" applyAlignment="1" applyFont="1" applyNumberFormat="1">
      <alignment horizontal="left" readingOrder="0"/>
    </xf>
    <xf borderId="0" fillId="0" fontId="1" numFmtId="0" xfId="0" applyAlignment="1" applyFont="1">
      <alignment horizontal="left" readingOrder="0"/>
    </xf>
    <xf borderId="0" fillId="0" fontId="36" numFmtId="0" xfId="0" applyAlignment="1" applyFont="1">
      <alignment horizontal="left" readingOrder="0"/>
    </xf>
    <xf borderId="0" fillId="0" fontId="1" numFmtId="166" xfId="0" applyAlignment="1" applyFont="1" applyNumberFormat="1">
      <alignment readingOrder="0"/>
    </xf>
    <xf borderId="0" fillId="0" fontId="1" numFmtId="0" xfId="0" applyAlignment="1" applyFont="1">
      <alignment horizontal="left" readingOrder="0" shrinkToFit="0" wrapText="1"/>
    </xf>
    <xf borderId="0" fillId="0" fontId="1" numFmtId="0" xfId="0" applyAlignment="1" applyFont="1">
      <alignment horizontal="left" readingOrder="0"/>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D4D4D4"/>
          <bgColor rgb="FFD4D4D4"/>
        </patternFill>
      </fill>
      <border/>
    </dxf>
    <dxf>
      <font/>
      <fill>
        <patternFill patternType="solid">
          <fgColor rgb="FFB7E1CD"/>
          <bgColor rgb="FFB7E1CD"/>
        </patternFill>
      </fill>
      <border/>
    </dxf>
  </dxfs>
  <tableStyles count="4">
    <tableStyle count="4" pivot="0" name="Project Plan-style">
      <tableStyleElement dxfId="1" type="headerRow"/>
      <tableStyleElement dxfId="2" type="firstRowStripe"/>
      <tableStyleElement dxfId="3" type="secondRowStripe"/>
      <tableStyleElement dxfId="4" size="0" type="wholeTable"/>
    </tableStyle>
    <tableStyle count="4" pivot="0" name="Active Industry Models-style">
      <tableStyleElement dxfId="1" type="headerRow"/>
      <tableStyleElement dxfId="2" type="firstRowStripe"/>
      <tableStyleElement dxfId="3" type="secondRowStripe"/>
      <tableStyleElement dxfId="4" size="0" type="wholeTable"/>
    </tableStyle>
    <tableStyle count="3" pivot="0" name="Active Vibe Models-style">
      <tableStyleElement dxfId="5" type="headerRow"/>
      <tableStyleElement dxfId="2" type="firstRowStripe"/>
      <tableStyleElement dxfId="6" type="secondRowStripe"/>
    </tableStyle>
    <tableStyle count="4" pivot="0" name="Indust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Task id="{4d9ba272-3b15-4ba5-a0c5-342cde9064b7}">
    <Anchor>
      <Comment id="{5757f7a4-9fda-49e1-84f7-fdff35426ebd}"/>
    </Anchor>
    <History>
      <Event time="2026-01-29T16:04:10.00" id="{8b54eb47-25e0-48bc-ad5e-7e92dca42f07}">
        <Attribution userId="placeholder@email.com" userName="Romina Kirchmaier" userProvider="google-sheets"/>
        <Anchor>
          <Comment id="{5757f7a4-9fda-49e1-84f7-fdff35426ebd}"/>
        </Anchor>
        <Create/>
      </Event>
      <Event time="2026-01-29T16:04:10.00" id="{0a55a581-a9c1-40d4-b654-562820b9d4cf}">
        <Attribution userId="placeholder@email.com" userName="Romina Kirchmaier" userProvider="google-sheets"/>
        <Anchor>
          <Comment id="{5757f7a4-9fda-49e1-84f7-fdff35426ebd}"/>
        </Anchor>
        <Assign userId="leo.mao@databricks.com" userName="leo.mao@databricks.com" userProvider="google-sheets"/>
      </Event>
    </History>
  </Task>
</Tasks>
</file>

<file path=xl/documenttasks/documenttask2.xml><?xml version="1.0" encoding="utf-8"?>
<Tasks xmlns="http://schemas.microsoft.com/office/tasks/2019/documenttasks">
  <Task id="{60766e59-9299-413e-9c0c-a62dd579c2e6}">
    <Anchor>
      <Comment id="{d13fde02-d42e-456e-b659-3c6707ef6e1d}"/>
    </Anchor>
    <History>
      <Event time="2026-03-19T19:29:00.00" id="{82b822a9-7820-466e-b8ee-49c7198bd53a}">
        <Attribution userId="placeholder@email.com" userName="Cary Moore" userProvider="google-sheets"/>
        <Anchor>
          <Comment id="{d13fde02-d42e-456e-b659-3c6707ef6e1d}"/>
        </Anchor>
        <Create/>
      </Event>
      <Event time="2026-03-19T19:29:00.00" id="{a08035f6-39a0-4cd7-b4ab-08e26fa4f1b8}">
        <Attribution userId="placeholder@email.com" userName="Cary Moore" userProvider="google-sheets"/>
        <Anchor>
          <Comment id="{d13fde02-d42e-456e-b659-3c6707ef6e1d}"/>
        </Anchor>
        <Assign userId="chris.crawford@databricks.com" userName="chris.crawford@databricks.com" userProvider="google-sheets"/>
      </Event>
    </History>
  </Task>
</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ryan Smith" id="{d78748ae-9a85-481f-aed5-4e1fad9895dc}" providerId="google-sheets"/>
  <x18tc:person displayName="bryan.smith@databricks.com" id="{41987368-b6ca-4e0c-ab67-a440ca5b7150}" userId="bryan.smith@databricks.com" providerId="google-sheets"/>
  <x18tc:person displayName="leo.mao@databricks.com" id="{fea5addf-87d8-4145-ac4e-a1a028b1b203}" userId="leo.mao@databricks.com" providerId="google-sheets"/>
  <x18tc:person displayName="chris.crawford@databricks.com" id="{85a45424-6a64-4f1b-9e6d-dd6723b407dc}" userId="chris.crawford@databricks.com" providerId="google-sheets"/>
  <x18tc:person displayName="Shelley Shaffery" id="{27e5282f-3ba7-4260-85b4-e4b3620a0a10}" providerId="google-sheets"/>
  <x18tc:person displayName="shelley.shaffery@databricks.com" id="{da13033c-9b16-46a1-988e-f537a7a2abb4}" userId="shelley.shaffery@databricks.com" providerId="google-sheets"/>
  <x18tc:person displayName="roberto.robles@databricks.com" id="{b241dd6b-a995-432d-acae-492a40c2da73}" userId="roberto.robles@databricks.com" providerId="google-sheets"/>
  <x18tc:person displayName="Romina Kirchmaier" id="{f3941332-0ade-4b80-a133-0479c02b8cd8}" providerId="google-sheets"/>
  <x18tc:person displayName="Roberto Robles Nacif" id="{d3e8f492-6275-4724-b0e6-e8276ed2a869}" providerId="google-sheets"/>
  <x18tc:person displayName="franco.patano@databricks.com" id="{c3af29dd-8a21-4859-b83f-38a76ed6670e}" userId="franco.patano@databricks.com" providerId="google-sheets"/>
  <x18tc:person displayName="Cary Moore" id="{c8ad6ffc-8559-4fff-b25c-1eb1036e7354}" providerId="google-sheets"/>
</x18tc:personList>
</file>

<file path=xl/tables/table1.xml><?xml version="1.0" encoding="utf-8"?>
<table xmlns="http://schemas.openxmlformats.org/spreadsheetml/2006/main" ref="A1:I14" displayName="Table1" name="Table1" id="1">
  <tableColumns count="9">
    <tableColumn name="Phase" id="1"/>
    <tableColumn name="Task" id="2"/>
    <tableColumn name="Description" id="3"/>
    <tableColumn name="Outstanding Questions" id="4"/>
    <tableColumn name="Owner" id="5"/>
    <tableColumn name="Date Due" id="6"/>
    <tableColumn name="Status" id="7"/>
    <tableColumn name="Asset Link" id="8"/>
    <tableColumn name="Notes" id="9"/>
  </tableColumns>
  <tableStyleInfo name="Project Plan-style" showColumnStripes="0" showFirstColumn="1" showLastColumn="1" showRowStripes="1"/>
</table>
</file>

<file path=xl/tables/table2.xml><?xml version="1.0" encoding="utf-8"?>
<table xmlns="http://schemas.openxmlformats.org/spreadsheetml/2006/main" ref="B1:O49" displayName="Certified_GTM_Models_2" name="Certified_GTM_Models_2" id="2">
  <autoFilter ref="$B$1:$O$49"/>
  <tableColumns count="14">
    <tableColumn name="Working Model?" id="1"/>
    <tableColumn name="GTM BU" id="2"/>
    <tableColumn name="Industry " id="3"/>
    <tableColumn name="Existing Industry Model / Dataset" id="4"/>
    <tableColumn name="Industry v. Data Model" id="5"/>
    <tableColumn name="Owner / Creator" id="6"/>
    <tableColumn name="Documentation / Link" id="7"/>
    <tableColumn name="Advisor" id="8"/>
    <tableColumn name="Builder" id="9"/>
    <tableColumn name="Peer Review" id="10"/>
    <tableColumn name="Repo" id="11"/>
    <tableColumn name="Documentation" id="12"/>
    <tableColumn name="Marketing Announcement" id="13"/>
    <tableColumn name="Released" id="14"/>
  </tableColumns>
  <tableStyleInfo name="Active Industry Models-style" showColumnStripes="0" showFirstColumn="1" showLastColumn="1" showRowStripes="1"/>
</table>
</file>

<file path=xl/tables/table3.xml><?xml version="1.0" encoding="utf-8"?>
<table xmlns="http://schemas.openxmlformats.org/spreadsheetml/2006/main" ref="D3:E30" displayName="Table_1" name="Table_1" id="3">
  <tableColumns count="2">
    <tableColumn name="No" id="1"/>
    <tableColumn name="No 2" id="2"/>
  </tableColumns>
  <tableStyleInfo name="Active Vibe Models-style" showColumnStripes="0" showFirstColumn="1" showLastColumn="1" showRowStripes="1"/>
</table>
</file>

<file path=xl/tables/table4.xml><?xml version="1.0" encoding="utf-8"?>
<table xmlns="http://schemas.openxmlformats.org/spreadsheetml/2006/main" ref="B1:T48" displayName="Certified_GTM_Models" name="Certified_GTM_Models" id="4">
  <autoFilter ref="$B$1:$T$48">
    <filterColumn colId="0">
      <filters blank="1">
        <filter val="Energy &amp; Utilities"/>
        <filter val="Public Sector"/>
        <filter val="Media, Entertainment &amp; Communications"/>
        <filter val="Retail &amp; Consumer Goods"/>
        <filter val="Digital Natives / Technology"/>
        <filter val="General Industry"/>
        <filter val="Healthcare and Life Sciences"/>
      </filters>
    </filterColumn>
  </autoFilter>
  <tableColumns count="19">
    <tableColumn name="GTM BU" id="1"/>
    <tableColumn name="Industry " id="2"/>
    <tableColumn name="Existing Industry Model / Dataset" id="3"/>
    <tableColumn name="Industry v. Data Model" id="4"/>
    <tableColumn name="Owner / Creator" id="5"/>
    <tableColumn name="Documentation / Link" id="6"/>
    <tableColumn name="Legality Risk" id="7"/>
    <tableColumn name="Type" id="8"/>
    <tableColumn name="Legal Notes" id="9"/>
    <tableColumn name="Legal Except" id="10"/>
    <tableColumn name="Lead" id="11"/>
    <tableColumn name="Notes" id="12"/>
    <tableColumn name="Priority" id="13"/>
    <tableColumn name="Draft Date" id="14"/>
    <tableColumn name="Peer Review" id="15"/>
    <tableColumn name="Repo" id="16"/>
    <tableColumn name="Documentation" id="17"/>
    <tableColumn name="Marketing Announcement" id="18"/>
    <tableColumn name="Released" id="19"/>
  </tableColumns>
  <tableStyleInfo name="Indust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 dT="2026-01-29T16:20:21.00" personId="{f3941332-0ade-4b80-a133-0479c02b8cd8}" id="{f6760678-b59c-4049-9e5f-f6fc08e0dc93}" done="0">
    <x18tc:text xml:space="preserve">@franco.patano@databricks.com Shelley and I want to ensure you'd be okay making this considering it would be 8 AM your time.</x18tc:text>
    <x18tc:mentions>
      <x18tc:mention mentionpersonId="{c3af29dd-8a21-4859-b83f-38a76ed6670e}" mentionId="{f099e246-6603-4c00-984b-aa46f31cb728}" startIndex="0" length="29"/>
    </x18tc:mentions>
  </x18tc:threadedComment>
  <x18tc:threadedComment ref="I2" dT="2026-01-29T16:04:10.00" personId="{f3941332-0ade-4b80-a133-0479c02b8cd8}" id="{5757f7a4-9fda-49e1-84f7-fdff35426ebd}" done="0">
    <x18tc:text xml:space="preserve">hi @leo.mao@databricks.com would you mind updating the notes / status of this?
Assigned to leo.mao@databricks.com</x18tc:text>
    <x18tc:mentions>
      <x18tc:mention mentionpersonId="{fea5addf-87d8-4145-ac4e-a1a028b1b203}" mentionId="{815cf905-2222-4b31-b80e-300843941d7e}" startIndex="3" length="2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0" dT="2026-03-19T19:29:00.00" personId="{c8ad6ffc-8559-4fff-b25c-1eb1036e7354}" id="{d13fde02-d42e-456e-b659-3c6707ef6e1d}" done="1">
    <x18tc:text xml:space="preserve">@chris.crawford@databricks.com I've added you to the sheet.
Assigned to chris.crawford@databricks.com</x18tc:text>
    <x18tc:mentions>
      <x18tc:mention mentionpersonId="{85a45424-6a64-4f1b-9e6d-dd6723b407dc}" mentionId="{943d126a-3e21-420a-ae99-cb2b3500d440}" startIndex="0" length="30"/>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2" dT="2025-12-05T00:42:35.00" personId="{27e5282f-3ba7-4260-85b4-e4b3620a0a10}" id="{a9b419cd-db0a-47c6-9c9a-9ebd780c21f4}" done="0">
    <x18tc:text xml:space="preserve">@bryan.smith@databricks.com @roberto.robles@databricks.com   Can you please review the RCG models?  Is there anything missing?  What is the priority for RCG?</x18tc:text>
    <x18tc:mentions>
      <x18tc:mention mentionpersonId="{41987368-b6ca-4e0c-ab67-a440ca5b7150}" mentionId="{2fbf5fec-0cca-4502-9ee0-d798bd1bf318}" startIndex="0" length="27"/>
      <x18tc:mention mentionpersonId="{b241dd6b-a995-432d-acae-492a40c2da73}" mentionId="{a409eaf2-9555-43b3-8a76-76ed9e688890}" startIndex="28" length="30"/>
    </x18tc:mentions>
  </x18tc:threadedComment>
  <x18tc:threadedComment ref="B22" dT="2025-12-07T10:55:45.00" personId="{d78748ae-9a85-481f-aed5-4e1fad9895dc}" id="{18093763-4c48-46ca-9599-7771e4a53a24}" parentId="{a9b419cd-db0a-47c6-9c9a-9ebd780c21f4}">
    <x18tc:text xml:space="preserve">I don't have any basis to say these are good or bad.  I'd say start with this and get some customer feedback.</x18tc:text>
  </x18tc:threadedComment>
  <x18tc:threadedComment ref="B22" dT="2025-12-09T15:59:01.00" personId="{d3e8f492-6275-4724-b0e6-e8276ed2a869}" id="{6e095663-c1f8-494e-a1f2-730aacae66a8}" parentId="{a9b419cd-db0a-47c6-9c9a-9ebd780c21f4}">
    <x18tc:text xml:space="preserve">@shelley.shaffery@databricks.com  added crip data model</x18tc:text>
    <x18tc:mentions>
      <x18tc:mention mentionpersonId="{da13033c-9b16-46a1-988e-f537a7a2abb4}" mentionId="{c20d3267-521f-43b6-8035-f6ad6546dd2c}" startIndex="0" length="32"/>
    </x18tc:mentions>
  </x18tc:threadedComment>
  <x18tc:threadedComment ref="L14" dT="2025-11-18T21:52:22.00" personId="{27e5282f-3ba7-4260-85b4-e4b3620a0a10}" id="{f9b20bcf-0bfb-4a2d-b7e2-4ea20ac2b6f6}" done="1">
    <x18tc:text xml:space="preserve">Needs to be confirmed</x18tc:text>
  </x18tc:threadedComment>
  <x18tc:threadedComment ref="L23" dT="2025-11-18T21:54:34.00" personId="{27e5282f-3ba7-4260-85b4-e4b3620a0a10}" id="{1d198c86-305e-4796-91fd-253c4a114dfd}" done="0">
    <x18tc:text xml:space="preserve">Needs to be confirmed</x18tc:text>
  </x18tc:threadedComment>
  <x18tc:threadedComment ref="L3" dT="2025-11-18T21:52:08.00" personId="{27e5282f-3ba7-4260-85b4-e4b3620a0a10}" id="{2acf6934-2aa0-4d04-a402-f3f32443895a}" done="1">
    <x18tc:text xml:space="preserve">Needs to be confirmed</x18tc:text>
  </x18tc:threadedComment>
  <x18tc:threadedComment ref="L12" dT="2025-11-18T21:52:13.00" personId="{27e5282f-3ba7-4260-85b4-e4b3620a0a10}" id="{c318a6cb-9686-4ad1-9ab3-a449d78f8b03}" done="1">
    <x18tc:text xml:space="preserve">Needs to be confirmed</x18tc:text>
  </x18tc:threadedComment>
  <x18tc:threadedComment ref="L13" dT="2025-11-18T21:52:18.00" personId="{27e5282f-3ba7-4260-85b4-e4b3620a0a10}" id="{77874d89-3c65-4e1e-ad5b-90f1aa6fa686}" done="1">
    <x18tc:text xml:space="preserve">Needs to be confirmed</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mailto:amr@databricks.com" TargetMode="External"/><Relationship Id="rId10" Type="http://schemas.openxmlformats.org/officeDocument/2006/relationships/hyperlink" Target="https://docs.google.com/spreadsheets/d/1QNtcwSGnvlj_HuDicUYe2ebK1Ky7Re4d_bEeYkWO8MY/edit?gid=437030945" TargetMode="External"/><Relationship Id="rId13" Type="http://schemas.openxmlformats.org/officeDocument/2006/relationships/hyperlink" Target="mailto:amr@databricks.com" TargetMode="External"/><Relationship Id="rId12" Type="http://schemas.openxmlformats.org/officeDocument/2006/relationships/hyperlink" Target="mailto:romina.kirchmaier@databricks.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leo.mao@databricks.com" TargetMode="External"/><Relationship Id="rId9" Type="http://schemas.openxmlformats.org/officeDocument/2006/relationships/hyperlink" Target="https://drive.google.com/drive/folders/1_Izu2IbWuvXaXppn18Tlp1AK_94VpHQC?usp=drive_link" TargetMode="External"/><Relationship Id="rId15" Type="http://schemas.openxmlformats.org/officeDocument/2006/relationships/hyperlink" Target="mailto:amr.ali@databricks.com" TargetMode="External"/><Relationship Id="rId14" Type="http://schemas.openxmlformats.org/officeDocument/2006/relationships/hyperlink" Target="mailto:leo.mao@databricks.com" TargetMode="External"/><Relationship Id="rId17" Type="http://schemas.openxmlformats.org/officeDocument/2006/relationships/vmlDrawing" Target="../drawings/vmlDrawing1.vml"/><Relationship Id="rId16" Type="http://schemas.openxmlformats.org/officeDocument/2006/relationships/drawing" Target="../drawings/drawing1.xml"/><Relationship Id="rId5" Type="http://schemas.openxmlformats.org/officeDocument/2006/relationships/hyperlink" Target="mailto:amr.ali@databricks.com" TargetMode="External"/><Relationship Id="rId19" Type="http://schemas.openxmlformats.org/officeDocument/2006/relationships/table" Target="../tables/table1.xml"/><Relationship Id="rId6" Type="http://schemas.openxmlformats.org/officeDocument/2006/relationships/hyperlink" Target="https://docs.google.com/spreadsheets/d/1IOA4VecjXnYfZlsXoNPLnovSPNCDx-bP/edit?usp=drive_link&amp;ouid=103941896639003050822&amp;rtpof=true&amp;sd=true" TargetMode="External"/><Relationship Id="rId7" Type="http://schemas.openxmlformats.org/officeDocument/2006/relationships/hyperlink" Target="mailto:amr.ali@databricks.com" TargetMode="External"/><Relationship Id="rId8" Type="http://schemas.openxmlformats.org/officeDocument/2006/relationships/hyperlink" Target="mailto:amr@databricks.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ata.gov/" TargetMode="External"/><Relationship Id="rId20" Type="http://schemas.openxmlformats.org/officeDocument/2006/relationships/hyperlink" Target="http://thetransparencyproject.org/Availabledataset" TargetMode="External"/><Relationship Id="rId42" Type="http://schemas.openxmlformats.org/officeDocument/2006/relationships/hyperlink" Target="https://www.isvworld.com/" TargetMode="External"/><Relationship Id="rId41" Type="http://schemas.openxmlformats.org/officeDocument/2006/relationships/hyperlink" Target="https://www.highalpha.com/saas-benchmarks" TargetMode="External"/><Relationship Id="rId22" Type="http://schemas.openxmlformats.org/officeDocument/2006/relationships/hyperlink" Target="https://www.teradata.com/industries/transportation/travel-and-hospitality-data-model" TargetMode="External"/><Relationship Id="rId44" Type="http://schemas.openxmlformats.org/officeDocument/2006/relationships/hyperlink" Target="https://adb-2548836972759138.18.azuredatabricks.net/marketplace/consumer/listings/0a82f0ae-1709-4313-80f0-cdc8b29382bb?o=2548836972759138" TargetMode="External"/><Relationship Id="rId21" Type="http://schemas.openxmlformats.org/officeDocument/2006/relationships/hyperlink" Target="https://documentation.replicahq.com/docs/seasonal-mobility-model-methodology-extended-places" TargetMode="External"/><Relationship Id="rId43" Type="http://schemas.openxmlformats.org/officeDocument/2006/relationships/hyperlink" Target="https://fib-dm.com/open-source/" TargetMode="External"/><Relationship Id="rId24" Type="http://schemas.openxmlformats.org/officeDocument/2006/relationships/hyperlink" Target="http://adrm.com/ind-cpg.shtml" TargetMode="External"/><Relationship Id="rId23" Type="http://schemas.openxmlformats.org/officeDocument/2006/relationships/hyperlink" Target="https://universe.roboflow.com/browse/retail" TargetMode="External"/><Relationship Id="rId45" Type="http://schemas.openxmlformats.org/officeDocument/2006/relationships/drawing" Target="../drawings/drawing2.xml"/><Relationship Id="rId1" Type="http://schemas.openxmlformats.org/officeDocument/2006/relationships/hyperlink" Target="http://xbrl.us/" TargetMode="External"/><Relationship Id="rId2" Type="http://schemas.openxmlformats.org/officeDocument/2006/relationships/hyperlink" Target="https://xbrl.us/home/learn/free-open-standards/" TargetMode="External"/><Relationship Id="rId3" Type="http://schemas.openxmlformats.org/officeDocument/2006/relationships/hyperlink" Target="https://fib-dm.com/open-source/" TargetMode="External"/><Relationship Id="rId4" Type="http://schemas.openxmlformats.org/officeDocument/2006/relationships/hyperlink" Target="https://www.cms.gov/marketplace/resources/data/public-use-files" TargetMode="External"/><Relationship Id="rId9" Type="http://schemas.openxmlformats.org/officeDocument/2006/relationships/hyperlink" Target="https://www.cdisc.org/standards/foundational/sdtm" TargetMode="External"/><Relationship Id="rId26" Type="http://schemas.openxmlformats.org/officeDocument/2006/relationships/hyperlink" Target="https://mesa.org/topics-resources/b2mml/" TargetMode="External"/><Relationship Id="rId25" Type="http://schemas.openxmlformats.org/officeDocument/2006/relationships/hyperlink" Target="https://www.oasis-open.org/committees/tc_home.php?wg_abbrev=ubl" TargetMode="External"/><Relationship Id="rId47" Type="http://schemas.openxmlformats.org/officeDocument/2006/relationships/table" Target="../tables/table2.xml"/><Relationship Id="rId28" Type="http://schemas.openxmlformats.org/officeDocument/2006/relationships/hyperlink" Target="https://www.epa.gov/automotive-trends/explore-automotive-trends-data" TargetMode="External"/><Relationship Id="rId27" Type="http://schemas.openxmlformats.org/officeDocument/2006/relationships/hyperlink" Target="https://opcfoundation.org/about/opc-technologies/opc-ua/" TargetMode="External"/><Relationship Id="rId5" Type="http://schemas.openxmlformats.org/officeDocument/2006/relationships/hyperlink" Target="https://www.federalreserve.gov/paymentsystems/2024-November-The-Federal-Reserve-Payments-Study.htm" TargetMode="External"/><Relationship Id="rId6" Type="http://schemas.openxmlformats.org/officeDocument/2006/relationships/hyperlink" Target="https://www.sec.gov/data-research" TargetMode="External"/><Relationship Id="rId29" Type="http://schemas.openxmlformats.org/officeDocument/2006/relationships/hyperlink" Target="https://www.mtconnect.org/" TargetMode="External"/><Relationship Id="rId7" Type="http://schemas.openxmlformats.org/officeDocument/2006/relationships/hyperlink" Target="https://hl7.org/fhir/" TargetMode="External"/><Relationship Id="rId8" Type="http://schemas.openxmlformats.org/officeDocument/2006/relationships/hyperlink" Target="https://www.ohdsi.org/data-standardization/" TargetMode="External"/><Relationship Id="rId31" Type="http://schemas.openxmlformats.org/officeDocument/2006/relationships/hyperlink" Target="https://github.com/jonathanwvd/awesome-industrial-datasets" TargetMode="External"/><Relationship Id="rId30" Type="http://schemas.openxmlformats.org/officeDocument/2006/relationships/hyperlink" Target="https://info.opensupplyhub.org/resources/an-open-data-model" TargetMode="External"/><Relationship Id="rId11" Type="http://schemas.openxmlformats.org/officeDocument/2006/relationships/hyperlink" Target="https://www.cdisc.org/standards/foundational/adam" TargetMode="External"/><Relationship Id="rId33" Type="http://schemas.openxmlformats.org/officeDocument/2006/relationships/hyperlink" Target="https://www.eia.gov/opendata/" TargetMode="External"/><Relationship Id="rId10" Type="http://schemas.openxmlformats.org/officeDocument/2006/relationships/hyperlink" Target="https://healthcare.pilotfishtechnology.com/edi-837-claim-edi-834-benefit-automation/?gad_source=1&amp;gad_campaignid=1560652725&amp;gbraid=0AAAAADkVnYJIScF5KlzJEkCpZHlIVoPVn&amp;gclid=Cj0KCQiA9OnJBhD-ARIsAPV51xOHt-CcUCC_FkUiGz6yKsSOEcTYO6MnXRxtRb_-F1Y8jIYRsrOxlj0aAgjQEALw_wcB" TargetMode="External"/><Relationship Id="rId32" Type="http://schemas.openxmlformats.org/officeDocument/2006/relationships/hyperlink" Target="https://www.entsoe.eu/data/cim/" TargetMode="External"/><Relationship Id="rId13" Type="http://schemas.openxmlformats.org/officeDocument/2006/relationships/hyperlink" Target="https://cdo.hhs.gov/s/open-data" TargetMode="External"/><Relationship Id="rId35" Type="http://schemas.openxmlformats.org/officeDocument/2006/relationships/hyperlink" Target="https://www.nrel.gov/research/data-tools" TargetMode="External"/><Relationship Id="rId12" Type="http://schemas.openxmlformats.org/officeDocument/2006/relationships/hyperlink" Target="https://www.fda.gov/medical-devices/software-medical-device-samd/artificial-intelligence-enabled-medical-devices" TargetMode="External"/><Relationship Id="rId34" Type="http://schemas.openxmlformats.org/officeDocument/2006/relationships/hyperlink" Target="https://www.kaggle.com/datasets" TargetMode="External"/><Relationship Id="rId15" Type="http://schemas.openxmlformats.org/officeDocument/2006/relationships/hyperlink" Target="https://datarade.ai/data-categories/advertising-data" TargetMode="External"/><Relationship Id="rId37" Type="http://schemas.openxmlformats.org/officeDocument/2006/relationships/hyperlink" Target="https://osduforum.org/getting-started/member-gitlab-access-portal/" TargetMode="External"/><Relationship Id="rId14" Type="http://schemas.openxmlformats.org/officeDocument/2006/relationships/hyperlink" Target="http://www.adrm.com/ind-pharmaceuticals.shtml" TargetMode="External"/><Relationship Id="rId36" Type="http://schemas.openxmlformats.org/officeDocument/2006/relationships/hyperlink" Target="https://www.bettergrids.org/" TargetMode="External"/><Relationship Id="rId17" Type="http://schemas.openxmlformats.org/officeDocument/2006/relationships/hyperlink" Target="https://www.fcc.gov/media/media-bureau-public-databases" TargetMode="External"/><Relationship Id="rId39" Type="http://schemas.openxmlformats.org/officeDocument/2006/relationships/hyperlink" Target="https://github.com/mingli-ai/Publicly-Available-Datasets-for-Educational-Data-Mining" TargetMode="External"/><Relationship Id="rId16" Type="http://schemas.openxmlformats.org/officeDocument/2006/relationships/hyperlink" Target="https://github.com/leomaurodesenv/game-datasets" TargetMode="External"/><Relationship Id="rId38" Type="http://schemas.openxmlformats.org/officeDocument/2006/relationships/hyperlink" Target="https://pods.org/data-models/pods-data-models/" TargetMode="External"/><Relationship Id="rId19" Type="http://schemas.openxmlformats.org/officeDocument/2006/relationships/hyperlink" Target="https://www.tmforum.org/press-and-news/data-warehouse-model-telecommunications/" TargetMode="External"/><Relationship Id="rId18" Type="http://schemas.openxmlformats.org/officeDocument/2006/relationships/hyperlink" Target="https://mediawell.ssrc.org/dataset-librar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earn.microsoft.com/en-us/azure/synapse-analytics/database-designer/overview-database-templates" TargetMode="External"/><Relationship Id="rId42" Type="http://schemas.openxmlformats.org/officeDocument/2006/relationships/hyperlink" Target="https://learn.microsoft.com/en-us/azure/synapse-analytics/database-designer/overview-database-templates" TargetMode="External"/><Relationship Id="rId41" Type="http://schemas.openxmlformats.org/officeDocument/2006/relationships/hyperlink" Target="https://learn.microsoft.com/en-us/azure/synapse-analytics/database-designer/overview-database-templates" TargetMode="External"/><Relationship Id="rId44" Type="http://schemas.openxmlformats.org/officeDocument/2006/relationships/hyperlink" Target="https://learn.microsoft.com/en-us/azure/synapse-analytics/database-designer/overview-database-templates" TargetMode="External"/><Relationship Id="rId43" Type="http://schemas.openxmlformats.org/officeDocument/2006/relationships/hyperlink" Target="https://learn.microsoft.com/en-us/azure/synapse-analytics/database-designer/overview-database-templates" TargetMode="External"/><Relationship Id="rId46" Type="http://schemas.openxmlformats.org/officeDocument/2006/relationships/hyperlink" Target="https://learn.microsoft.com/en-us/azure/synapse-analytics/database-designer/overview-database-templates" TargetMode="External"/><Relationship Id="rId45" Type="http://schemas.openxmlformats.org/officeDocument/2006/relationships/hyperlink" Target="https://learn.microsoft.com/en-us/azure/synapse-analytics/database-designer/overview-database-templates"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ibm.com/docs/en/bfmdw/8.10.1" TargetMode="External"/><Relationship Id="rId9" Type="http://schemas.openxmlformats.org/officeDocument/2006/relationships/hyperlink" Target="https://www.ibm.com/docs/en/tdw/8.5.1" TargetMode="External"/><Relationship Id="rId48" Type="http://schemas.openxmlformats.org/officeDocument/2006/relationships/hyperlink" Target="https://learn.microsoft.com/en-us/azure/synapse-analytics/database-designer/overview-database-templates" TargetMode="External"/><Relationship Id="rId47" Type="http://schemas.openxmlformats.org/officeDocument/2006/relationships/hyperlink" Target="https://learn.microsoft.com/en-us/azure/synapse-analytics/database-designer/overview-database-templates" TargetMode="External"/><Relationship Id="rId49" Type="http://schemas.openxmlformats.org/officeDocument/2006/relationships/hyperlink" Target="https://learn.microsoft.com/en-us/azure/synapse-analytics/database-designer/overview-database-templates" TargetMode="External"/><Relationship Id="rId5" Type="http://schemas.openxmlformats.org/officeDocument/2006/relationships/hyperlink" Target="https://www.ibm.com/products/insurance-information-warehouse" TargetMode="External"/><Relationship Id="rId6" Type="http://schemas.openxmlformats.org/officeDocument/2006/relationships/hyperlink" Target="https://www.ibm.com/products/unified-data-model-for-healthcare" TargetMode="External"/><Relationship Id="rId7" Type="http://schemas.openxmlformats.org/officeDocument/2006/relationships/hyperlink" Target="https://www.ibm.com/docs/en/dmeu/2.1.0" TargetMode="External"/><Relationship Id="rId8" Type="http://schemas.openxmlformats.org/officeDocument/2006/relationships/hyperlink" Target="https://www.ibm.com/support/pages/ibm-retail-data-warehouse-821" TargetMode="External"/><Relationship Id="rId31" Type="http://schemas.openxmlformats.org/officeDocument/2006/relationships/hyperlink" Target="https://learn.microsoft.com/en-us/azure/synapse-analytics/database-designer/overview-database-templates" TargetMode="External"/><Relationship Id="rId30" Type="http://schemas.openxmlformats.org/officeDocument/2006/relationships/hyperlink" Target="https://learn.microsoft.com/en-us/azure/synapse-analytics/database-designer/overview-database-templates" TargetMode="External"/><Relationship Id="rId33" Type="http://schemas.openxmlformats.org/officeDocument/2006/relationships/hyperlink" Target="https://learn.microsoft.com/en-us/azure/synapse-analytics/database-designer/overview-database-templates" TargetMode="External"/><Relationship Id="rId32" Type="http://schemas.openxmlformats.org/officeDocument/2006/relationships/hyperlink" Target="https://learn.microsoft.com/en-us/azure/synapse-analytics/database-designer/overview-database-templates" TargetMode="External"/><Relationship Id="rId35" Type="http://schemas.openxmlformats.org/officeDocument/2006/relationships/hyperlink" Target="https://learn.microsoft.com/en-us/azure/synapse-analytics/database-designer/overview-database-templates" TargetMode="External"/><Relationship Id="rId34" Type="http://schemas.openxmlformats.org/officeDocument/2006/relationships/hyperlink" Target="https://learn.microsoft.com/en-us/azure/synapse-analytics/database-designer/overview-database-templates" TargetMode="External"/><Relationship Id="rId37" Type="http://schemas.openxmlformats.org/officeDocument/2006/relationships/hyperlink" Target="https://learn.microsoft.com/en-us/azure/synapse-analytics/database-designer/overview-database-templates" TargetMode="External"/><Relationship Id="rId36" Type="http://schemas.openxmlformats.org/officeDocument/2006/relationships/hyperlink" Target="https://learn.microsoft.com/en-us/azure/synapse-analytics/database-designer/overview-database-templates" TargetMode="External"/><Relationship Id="rId39" Type="http://schemas.openxmlformats.org/officeDocument/2006/relationships/hyperlink" Target="https://learn.microsoft.com/en-us/azure/synapse-analytics/database-designer/overview-database-templates" TargetMode="External"/><Relationship Id="rId38" Type="http://schemas.openxmlformats.org/officeDocument/2006/relationships/hyperlink" Target="https://learn.microsoft.com/en-us/azure/synapse-analytics/database-designer/overview-database-templates" TargetMode="External"/><Relationship Id="rId20" Type="http://schemas.openxmlformats.org/officeDocument/2006/relationships/hyperlink" Target="https://www.teradata.com/industries/manufacturing/manufacturing-data-model" TargetMode="External"/><Relationship Id="rId22" Type="http://schemas.openxmlformats.org/officeDocument/2006/relationships/hyperlink" Target="https://www.teradata.com/industries/utilities/utilities-data-model" TargetMode="External"/><Relationship Id="rId21" Type="http://schemas.openxmlformats.org/officeDocument/2006/relationships/hyperlink" Target="https://www.teradata.com/industries/transportation/travel-and-hospitality-data-model" TargetMode="External"/><Relationship Id="rId24" Type="http://schemas.openxmlformats.org/officeDocument/2006/relationships/hyperlink" Target="https://documentation.sas.com/?docsetId=ddsbnkag&amp;docsetVersion=5.2&amp;docsetTarget=titlepage.htm" TargetMode="External"/><Relationship Id="rId23" Type="http://schemas.openxmlformats.org/officeDocument/2006/relationships/hyperlink" Target="https://docs.infor.com/birst/2024.x/en-us/birstolh/intro_user/scf1692641734728.html" TargetMode="External"/><Relationship Id="rId26" Type="http://schemas.openxmlformats.org/officeDocument/2006/relationships/hyperlink" Target="https://support.sas.com/en/software/sas-detail-data-store.html" TargetMode="External"/><Relationship Id="rId25" Type="http://schemas.openxmlformats.org/officeDocument/2006/relationships/hyperlink" Target="https://support.sas.com/en/software/insurance-analytics-architecture-support.html" TargetMode="External"/><Relationship Id="rId28" Type="http://schemas.openxmlformats.org/officeDocument/2006/relationships/hyperlink" Target="https://developer.salesforce.com/docs/platform/data-models/guide/health-cloud-category.html" TargetMode="External"/><Relationship Id="rId27" Type="http://schemas.openxmlformats.org/officeDocument/2006/relationships/hyperlink" Target="https://developer.salesforce.com/docs/platform/data-models/guide/financial-services-overview.html" TargetMode="External"/><Relationship Id="rId29" Type="http://schemas.openxmlformats.org/officeDocument/2006/relationships/hyperlink" Target="https://developer.salesforce.com/docs/platform/data-models/guide/manufacturing-cloud-category.html" TargetMode="External"/><Relationship Id="rId51" Type="http://schemas.openxmlformats.org/officeDocument/2006/relationships/hyperlink" Target="https://learn.microsoft.com/en-us/azure/synapse-analytics/database-designer/overview-database-templates" TargetMode="External"/><Relationship Id="rId50" Type="http://schemas.openxmlformats.org/officeDocument/2006/relationships/hyperlink" Target="https://learn.microsoft.com/en-us/azure/synapse-analytics/database-designer/overview-database-templates" TargetMode="External"/><Relationship Id="rId53" Type="http://schemas.openxmlformats.org/officeDocument/2006/relationships/hyperlink" Target="https://learn.microsoft.com/en-us/azure/synapse-analytics/database-designer/overview-database-templates" TargetMode="External"/><Relationship Id="rId52" Type="http://schemas.openxmlformats.org/officeDocument/2006/relationships/hyperlink" Target="https://learn.microsoft.com/en-us/azure/synapse-analytics/database-designer/overview-database-templates" TargetMode="External"/><Relationship Id="rId11" Type="http://schemas.openxmlformats.org/officeDocument/2006/relationships/hyperlink" Target="https://www.oracle.com/database/technologies/retail-data-model.html" TargetMode="External"/><Relationship Id="rId55" Type="http://schemas.openxmlformats.org/officeDocument/2006/relationships/drawing" Target="../drawings/drawing3.xml"/><Relationship Id="rId10" Type="http://schemas.openxmlformats.org/officeDocument/2006/relationships/hyperlink" Target="https://docs.oracle.com/en/industries/communications/communications-data-model/index.html" TargetMode="External"/><Relationship Id="rId54" Type="http://schemas.openxmlformats.org/officeDocument/2006/relationships/hyperlink" Target="https://learn.microsoft.com/en-us/azure/synapse-analytics/database-designer/overview-database-templates" TargetMode="External"/><Relationship Id="rId13" Type="http://schemas.openxmlformats.org/officeDocument/2006/relationships/hyperlink" Target="https://docs.oracle.com/cd/E49330_01/index.html" TargetMode="External"/><Relationship Id="rId12" Type="http://schemas.openxmlformats.org/officeDocument/2006/relationships/hyperlink" Target="https://docs.oracle.com/en/industries/financial-services/ofs-analytical-applications/analytical-applications-infrastructure/812/almug/ofsaa-data-model.html" TargetMode="External"/><Relationship Id="rId56" Type="http://schemas.openxmlformats.org/officeDocument/2006/relationships/vmlDrawing" Target="../drawings/vmlDrawing2.vml"/><Relationship Id="rId15" Type="http://schemas.openxmlformats.org/officeDocument/2006/relationships/hyperlink" Target="https://help.sap.com/docs/S4HANA_FIN_PROD_SUBLEDGER/4444aa0b589b4c0d8cd1f24156e6a684/fbf9c9afaa0e4634a3ffdb1e3d8ec7c0.html" TargetMode="External"/><Relationship Id="rId14" Type="http://schemas.openxmlformats.org/officeDocument/2006/relationships/hyperlink" Target="https://help.sap.com/docs/SAP_BW4HANA_CONTENT" TargetMode="External"/><Relationship Id="rId58" Type="http://schemas.openxmlformats.org/officeDocument/2006/relationships/table" Target="../tables/table3.xml"/><Relationship Id="rId17" Type="http://schemas.openxmlformats.org/officeDocument/2006/relationships/hyperlink" Target="https://www.teradata.com/industries/financial-services/financial-services-data-model" TargetMode="External"/><Relationship Id="rId16" Type="http://schemas.openxmlformats.org/officeDocument/2006/relationships/hyperlink" Target="https://www.teradata.com/industries/telco/communications-data-model" TargetMode="External"/><Relationship Id="rId19" Type="http://schemas.openxmlformats.org/officeDocument/2006/relationships/hyperlink" Target="https://www.teradata.com/industries/healthcare/healthcare-data-model" TargetMode="External"/><Relationship Id="rId18" Type="http://schemas.openxmlformats.org/officeDocument/2006/relationships/hyperlink" Target="https://www.teradata.com/industries/retail/retail-data-mode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zach.hanf@databricks.com" TargetMode="External"/><Relationship Id="rId2" Type="http://schemas.openxmlformats.org/officeDocument/2006/relationships/hyperlink" Target="mailto:drew.triplett@databricks.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mtconnect.org/" TargetMode="External"/><Relationship Id="rId42" Type="http://schemas.openxmlformats.org/officeDocument/2006/relationships/hyperlink" Target="https://github.com/jonathanwvd/awesome-industrial-datasets" TargetMode="External"/><Relationship Id="rId41" Type="http://schemas.openxmlformats.org/officeDocument/2006/relationships/hyperlink" Target="https://info.opensupplyhub.org/resources/an-open-data-model" TargetMode="External"/><Relationship Id="rId44" Type="http://schemas.openxmlformats.org/officeDocument/2006/relationships/hyperlink" Target="https://www.entsoe.eu/news/2022/10/19/cgmes-3-0-publishing/" TargetMode="External"/><Relationship Id="rId43" Type="http://schemas.openxmlformats.org/officeDocument/2006/relationships/hyperlink" Target="https://www.entsoe.eu/data/cim/" TargetMode="External"/><Relationship Id="rId46" Type="http://schemas.openxmlformats.org/officeDocument/2006/relationships/hyperlink" Target="https://www.kaggle.com/datasets" TargetMode="External"/><Relationship Id="rId45" Type="http://schemas.openxmlformats.org/officeDocument/2006/relationships/hyperlink" Target="https://www.eia.gov/opendata/"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xbrl.us/" TargetMode="External"/><Relationship Id="rId9" Type="http://schemas.openxmlformats.org/officeDocument/2006/relationships/hyperlink" Target="https://www.federalreserve.gov/paymentsystems/2024-November-The-Federal-Reserve-Payments-Study.htm" TargetMode="External"/><Relationship Id="rId48" Type="http://schemas.openxmlformats.org/officeDocument/2006/relationships/hyperlink" Target="https://www.bettergrids.org/" TargetMode="External"/><Relationship Id="rId47" Type="http://schemas.openxmlformats.org/officeDocument/2006/relationships/hyperlink" Target="https://www.nrel.gov/research/data-tools" TargetMode="External"/><Relationship Id="rId49" Type="http://schemas.openxmlformats.org/officeDocument/2006/relationships/hyperlink" Target="https://osduforum.org/getting-started/member-gitlab-access-portal/" TargetMode="External"/><Relationship Id="rId5" Type="http://schemas.openxmlformats.org/officeDocument/2006/relationships/hyperlink" Target="https://xbrl.us/home/learn/free-open-standards/" TargetMode="External"/><Relationship Id="rId6" Type="http://schemas.openxmlformats.org/officeDocument/2006/relationships/hyperlink" Target="https://fib-dm.com/open-source/" TargetMode="External"/><Relationship Id="rId7" Type="http://schemas.openxmlformats.org/officeDocument/2006/relationships/hyperlink" Target="http://jayzed.com/" TargetMode="External"/><Relationship Id="rId8" Type="http://schemas.openxmlformats.org/officeDocument/2006/relationships/hyperlink" Target="https://www.cms.gov/marketplace/resources/data/public-use-files" TargetMode="External"/><Relationship Id="rId31" Type="http://schemas.openxmlformats.org/officeDocument/2006/relationships/hyperlink" Target="https://documentation.replicahq.com/docs/seasonal-mobility-model-methodology-extended-places" TargetMode="External"/><Relationship Id="rId30" Type="http://schemas.openxmlformats.org/officeDocument/2006/relationships/hyperlink" Target="http://thetransparencyproject.org/Availabledataset" TargetMode="External"/><Relationship Id="rId33" Type="http://schemas.openxmlformats.org/officeDocument/2006/relationships/hyperlink" Target="https://universe.roboflow.com/browse/retail" TargetMode="External"/><Relationship Id="rId32" Type="http://schemas.openxmlformats.org/officeDocument/2006/relationships/hyperlink" Target="https://www.teradata.com/industries/transportation/travel-and-hospitality-data-model" TargetMode="External"/><Relationship Id="rId35" Type="http://schemas.openxmlformats.org/officeDocument/2006/relationships/hyperlink" Target="https://www.oasis-open.org/committees/tc_home.php?wg_abbrev=ubl" TargetMode="External"/><Relationship Id="rId34" Type="http://schemas.openxmlformats.org/officeDocument/2006/relationships/hyperlink" Target="http://adrm.com/ind-cpg.shtml" TargetMode="External"/><Relationship Id="rId37" Type="http://schemas.openxmlformats.org/officeDocument/2006/relationships/hyperlink" Target="https://opcfoundation.org/about/opc-technologies/opc-ua/" TargetMode="External"/><Relationship Id="rId36" Type="http://schemas.openxmlformats.org/officeDocument/2006/relationships/hyperlink" Target="https://mesa.org/topics-resources/b2mml/" TargetMode="External"/><Relationship Id="rId39" Type="http://schemas.openxmlformats.org/officeDocument/2006/relationships/hyperlink" Target="https://www.epa.gov/automotive-trends/explore-automotive-trends-data" TargetMode="External"/><Relationship Id="rId38" Type="http://schemas.openxmlformats.org/officeDocument/2006/relationships/hyperlink" Target="https://www.s2opc.com/product/s2opc-overview/open-source-for-opc-ua/" TargetMode="External"/><Relationship Id="rId20" Type="http://schemas.openxmlformats.org/officeDocument/2006/relationships/hyperlink" Target="https://www.cdisc.org/sites/default/files/2024-08/CDISC%20Policy%20003%20-%20Intellectual%20Property%202024%20FINAL.pdf" TargetMode="External"/><Relationship Id="rId22" Type="http://schemas.openxmlformats.org/officeDocument/2006/relationships/hyperlink" Target="https://cdo.hhs.gov/s/open-data" TargetMode="External"/><Relationship Id="rId21" Type="http://schemas.openxmlformats.org/officeDocument/2006/relationships/hyperlink" Target="https://www.fda.gov/medical-devices/software-medical-device-samd/artificial-intelligence-enabled-medical-devices" TargetMode="External"/><Relationship Id="rId24" Type="http://schemas.openxmlformats.org/officeDocument/2006/relationships/hyperlink" Target="https://datarade.ai/data-categories/advertising-data" TargetMode="External"/><Relationship Id="rId23" Type="http://schemas.openxmlformats.org/officeDocument/2006/relationships/hyperlink" Target="http://www.adrm.com/ind-pharmaceuticals.shtml" TargetMode="External"/><Relationship Id="rId60" Type="http://schemas.openxmlformats.org/officeDocument/2006/relationships/table" Target="../tables/table4.xml"/><Relationship Id="rId26" Type="http://schemas.openxmlformats.org/officeDocument/2006/relationships/hyperlink" Target="https://www.fcc.gov/media/media-bureau-public-databases" TargetMode="External"/><Relationship Id="rId25" Type="http://schemas.openxmlformats.org/officeDocument/2006/relationships/hyperlink" Target="https://github.com/leomaurodesenv/game-datasets" TargetMode="External"/><Relationship Id="rId28" Type="http://schemas.openxmlformats.org/officeDocument/2006/relationships/hyperlink" Target="https://www.tmforum.org/press-and-news/data-warehouse-model-telecommunications/" TargetMode="External"/><Relationship Id="rId27" Type="http://schemas.openxmlformats.org/officeDocument/2006/relationships/hyperlink" Target="https://mediawell.ssrc.org/dataset-library/" TargetMode="External"/><Relationship Id="rId29" Type="http://schemas.openxmlformats.org/officeDocument/2006/relationships/hyperlink" Target="https://www.tmforum.org/legal/website-terms-of-use" TargetMode="External"/><Relationship Id="rId51" Type="http://schemas.openxmlformats.org/officeDocument/2006/relationships/hyperlink" Target="https://github.com/mingli-ai/Publicly-Available-Datasets-for-Educational-Data-Mining" TargetMode="External"/><Relationship Id="rId50" Type="http://schemas.openxmlformats.org/officeDocument/2006/relationships/hyperlink" Target="https://pods.org/data-models/pods-data-models/" TargetMode="External"/><Relationship Id="rId53" Type="http://schemas.openxmlformats.org/officeDocument/2006/relationships/hyperlink" Target="https://www.highalpha.com/saas-benchmarks" TargetMode="External"/><Relationship Id="rId52" Type="http://schemas.openxmlformats.org/officeDocument/2006/relationships/hyperlink" Target="https://data.gov/" TargetMode="External"/><Relationship Id="rId11" Type="http://schemas.openxmlformats.org/officeDocument/2006/relationships/hyperlink" Target="https://hl7.org/fhir/" TargetMode="External"/><Relationship Id="rId55" Type="http://schemas.openxmlformats.org/officeDocument/2006/relationships/hyperlink" Target="https://fib-dm.com/open-source/" TargetMode="External"/><Relationship Id="rId10" Type="http://schemas.openxmlformats.org/officeDocument/2006/relationships/hyperlink" Target="https://www.sec.gov/data-research" TargetMode="External"/><Relationship Id="rId54" Type="http://schemas.openxmlformats.org/officeDocument/2006/relationships/hyperlink" Target="https://www.isvworld.com/" TargetMode="External"/><Relationship Id="rId13" Type="http://schemas.openxmlformats.org/officeDocument/2006/relationships/hyperlink" Target="https://www.ohdsi.org/data-standardization/the-common-data-model/" TargetMode="External"/><Relationship Id="rId57" Type="http://schemas.openxmlformats.org/officeDocument/2006/relationships/drawing" Target="../drawings/drawing7.xml"/><Relationship Id="rId12" Type="http://schemas.openxmlformats.org/officeDocument/2006/relationships/hyperlink" Target="https://www.ohdsi.org/data-standardization/" TargetMode="External"/><Relationship Id="rId56" Type="http://schemas.openxmlformats.org/officeDocument/2006/relationships/hyperlink" Target="https://adb-2548836972759138.18.azuredatabricks.net/marketplace/consumer/listings/0a82f0ae-1709-4313-80f0-cdc8b29382bb?o=2548836972759138" TargetMode="External"/><Relationship Id="rId15" Type="http://schemas.openxmlformats.org/officeDocument/2006/relationships/hyperlink" Target="https://www.cdisc.org/standards/foundational/sdtm" TargetMode="External"/><Relationship Id="rId14" Type="http://schemas.openxmlformats.org/officeDocument/2006/relationships/hyperlink" Target="https://databricks.atlassian.net/wiki/spaces/GTM/pages/2494399198/RWE-OMOP+CDM" TargetMode="External"/><Relationship Id="rId58" Type="http://schemas.openxmlformats.org/officeDocument/2006/relationships/vmlDrawing" Target="../drawings/vmlDrawing3.vml"/><Relationship Id="rId17" Type="http://schemas.openxmlformats.org/officeDocument/2006/relationships/hyperlink" Target="https://healthcare.pilotfishtechnology.com/edi-837-claim-edi-834-benefit-automation/?gad_source=1&amp;gad_campaignid=1560652725&amp;gbraid=0AAAAADkVnYJIScF5KlzJEkCpZHlIVoPVn&amp;gclid=Cj0KCQiA9OnJBhD-ARIsAPV51xOHt-CcUCC_FkUiGz6yKsSOEcTYO6MnXRxtRb_-F1Y8jIYRsrOxlj0aAgjQEALw_wcB" TargetMode="External"/><Relationship Id="rId16" Type="http://schemas.openxmlformats.org/officeDocument/2006/relationships/hyperlink" Target="https://www.cdisc.org/sites/default/files/2024-08/CDISC%20Policy%20003%20-%20Intellectual%20Property%202024%20FINAL.pdf" TargetMode="External"/><Relationship Id="rId19" Type="http://schemas.openxmlformats.org/officeDocument/2006/relationships/hyperlink" Target="https://www.cdisc.org/standards/foundational/adam" TargetMode="External"/><Relationship Id="rId18" Type="http://schemas.openxmlformats.org/officeDocument/2006/relationships/hyperlink" Target="https://x12.org/products/ip-use"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databricks-industry-solutions/dbignite"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35.88"/>
    <col customWidth="1" min="3" max="3" width="83.13"/>
    <col customWidth="1" min="4" max="4" width="42.88"/>
    <col customWidth="1" min="5" max="5" width="56.5"/>
    <col customWidth="1" min="6" max="6" width="30.38"/>
    <col customWidth="1" min="7" max="7" width="30.5"/>
    <col customWidth="1" min="8" max="8" width="34.88"/>
    <col customWidth="1" min="9" max="9" width="116.38"/>
  </cols>
  <sheetData>
    <row r="1" ht="22.5" customHeight="1">
      <c r="A1" s="1" t="s">
        <v>0</v>
      </c>
      <c r="B1" s="1" t="s">
        <v>1</v>
      </c>
      <c r="C1" s="2" t="s">
        <v>2</v>
      </c>
      <c r="D1" s="2" t="s">
        <v>3</v>
      </c>
      <c r="E1" s="1" t="s">
        <v>4</v>
      </c>
      <c r="F1" s="1" t="s">
        <v>5</v>
      </c>
      <c r="G1" s="2" t="s">
        <v>6</v>
      </c>
      <c r="H1" s="1" t="s">
        <v>7</v>
      </c>
      <c r="I1" s="1" t="s">
        <v>8</v>
      </c>
    </row>
    <row r="2" ht="22.5" customHeight="1">
      <c r="A2" s="3" t="s">
        <v>9</v>
      </c>
      <c r="B2" s="4" t="s">
        <v>10</v>
      </c>
      <c r="C2" s="3" t="s">
        <v>11</v>
      </c>
      <c r="D2" s="3" t="s">
        <v>12</v>
      </c>
      <c r="E2" s="5" t="s">
        <v>13</v>
      </c>
      <c r="F2" s="6">
        <v>46063.0</v>
      </c>
      <c r="G2" s="7" t="s">
        <v>14</v>
      </c>
    </row>
    <row r="3" ht="22.5" customHeight="1">
      <c r="A3" s="3" t="s">
        <v>9</v>
      </c>
      <c r="B3" s="4" t="s">
        <v>15</v>
      </c>
      <c r="C3" s="3" t="s">
        <v>16</v>
      </c>
      <c r="D3" s="3"/>
      <c r="E3" s="5" t="s">
        <v>17</v>
      </c>
      <c r="F3" s="6">
        <v>46063.0</v>
      </c>
      <c r="G3" s="7" t="s">
        <v>14</v>
      </c>
      <c r="I3" s="5" t="s">
        <v>18</v>
      </c>
    </row>
    <row r="4" ht="90.75" customHeight="1">
      <c r="A4" s="3" t="s">
        <v>9</v>
      </c>
      <c r="B4" s="8" t="s">
        <v>19</v>
      </c>
      <c r="C4" s="3" t="s">
        <v>20</v>
      </c>
      <c r="D4" s="9"/>
      <c r="E4" s="5" t="s">
        <v>21</v>
      </c>
      <c r="F4" s="10"/>
      <c r="G4" s="11"/>
    </row>
    <row r="5" ht="130.5" customHeight="1">
      <c r="A5" s="12" t="s">
        <v>9</v>
      </c>
      <c r="B5" s="13" t="s">
        <v>22</v>
      </c>
      <c r="C5" s="14" t="s">
        <v>23</v>
      </c>
      <c r="D5" s="15"/>
      <c r="E5" s="16" t="s">
        <v>24</v>
      </c>
      <c r="F5" s="17">
        <v>46063.0</v>
      </c>
      <c r="G5" s="18" t="s">
        <v>25</v>
      </c>
      <c r="H5" s="19"/>
      <c r="I5" s="20" t="s">
        <v>26</v>
      </c>
      <c r="J5" s="21"/>
      <c r="K5" s="21"/>
      <c r="L5" s="21"/>
      <c r="M5" s="21"/>
      <c r="N5" s="21"/>
      <c r="O5" s="21"/>
      <c r="P5" s="21"/>
      <c r="Q5" s="21"/>
      <c r="R5" s="21"/>
      <c r="S5" s="21"/>
      <c r="T5" s="21"/>
      <c r="U5" s="21"/>
      <c r="V5" s="21"/>
      <c r="W5" s="21"/>
      <c r="X5" s="21"/>
      <c r="Y5" s="21"/>
      <c r="Z5" s="21"/>
      <c r="AA5" s="21"/>
      <c r="AB5" s="21"/>
      <c r="AC5" s="21"/>
      <c r="AD5" s="21"/>
    </row>
    <row r="6" ht="130.5" customHeight="1">
      <c r="A6" s="3" t="s">
        <v>9</v>
      </c>
      <c r="B6" s="4" t="s">
        <v>27</v>
      </c>
      <c r="C6" s="22" t="s">
        <v>28</v>
      </c>
      <c r="D6" s="9"/>
      <c r="E6" s="3"/>
      <c r="F6" s="10"/>
      <c r="G6" s="11"/>
    </row>
    <row r="7" ht="130.5" customHeight="1">
      <c r="A7" s="3" t="s">
        <v>29</v>
      </c>
      <c r="B7" s="4" t="s">
        <v>30</v>
      </c>
      <c r="C7" s="3" t="s">
        <v>31</v>
      </c>
      <c r="D7" s="9" t="s">
        <v>32</v>
      </c>
      <c r="E7" s="5" t="s">
        <v>33</v>
      </c>
      <c r="F7" s="23">
        <v>46077.0</v>
      </c>
      <c r="G7" s="7" t="s">
        <v>25</v>
      </c>
    </row>
    <row r="8" ht="33.0" customHeight="1">
      <c r="A8" s="3" t="s">
        <v>34</v>
      </c>
      <c r="B8" s="4" t="s">
        <v>35</v>
      </c>
      <c r="C8" s="3" t="s">
        <v>36</v>
      </c>
      <c r="D8" s="3"/>
      <c r="E8" s="5" t="s">
        <v>37</v>
      </c>
      <c r="F8" s="6">
        <v>46098.0</v>
      </c>
      <c r="G8" s="24"/>
    </row>
    <row r="9" ht="42.75" customHeight="1">
      <c r="A9" s="3" t="s">
        <v>34</v>
      </c>
      <c r="B9" s="4" t="s">
        <v>38</v>
      </c>
      <c r="C9" s="9" t="s">
        <v>39</v>
      </c>
      <c r="E9" s="3"/>
      <c r="F9" s="6"/>
      <c r="G9" s="24"/>
    </row>
    <row r="10" ht="42.75" customHeight="1">
      <c r="A10" s="3" t="s">
        <v>34</v>
      </c>
      <c r="B10" s="4" t="s">
        <v>40</v>
      </c>
      <c r="C10" s="9" t="s">
        <v>41</v>
      </c>
      <c r="E10" s="5" t="s">
        <v>24</v>
      </c>
      <c r="F10" s="6">
        <v>46098.0</v>
      </c>
      <c r="G10" s="24"/>
    </row>
    <row r="11" ht="22.5" customHeight="1">
      <c r="A11" s="3" t="s">
        <v>34</v>
      </c>
      <c r="B11" s="4" t="s">
        <v>42</v>
      </c>
      <c r="C11" s="3" t="s">
        <v>43</v>
      </c>
      <c r="E11" s="5" t="s">
        <v>13</v>
      </c>
      <c r="F11" s="6">
        <v>46098.0</v>
      </c>
      <c r="G11" s="24"/>
    </row>
    <row r="12" ht="22.5" customHeight="1">
      <c r="A12" s="3" t="s">
        <v>34</v>
      </c>
      <c r="B12" s="4" t="s">
        <v>44</v>
      </c>
      <c r="C12" s="3" t="s">
        <v>45</v>
      </c>
      <c r="E12" s="5" t="s">
        <v>24</v>
      </c>
      <c r="F12" s="6">
        <v>46098.0</v>
      </c>
      <c r="G12" s="24"/>
    </row>
    <row r="13" ht="22.5" customHeight="1">
      <c r="A13" s="3" t="s">
        <v>34</v>
      </c>
      <c r="B13" s="4" t="s">
        <v>46</v>
      </c>
      <c r="C13" s="3" t="s">
        <v>47</v>
      </c>
      <c r="F13" s="6">
        <v>46113.0</v>
      </c>
      <c r="G13" s="24"/>
    </row>
    <row r="14" ht="22.5" customHeight="1">
      <c r="A14" s="3" t="s">
        <v>48</v>
      </c>
      <c r="G14" s="24"/>
    </row>
  </sheetData>
  <dataValidations>
    <dataValidation type="list" allowBlank="1" sqref="G2:G14">
      <formula1>"Not Started,In Progress,Completed"</formula1>
    </dataValidation>
  </dataValidations>
  <hyperlinks>
    <hyperlink r:id="rId4" ref="E2"/>
    <hyperlink r:id="rId5" ref="E3"/>
    <hyperlink r:id="rId6" ref="I3"/>
    <hyperlink r:id="rId7" ref="E4"/>
    <hyperlink r:id="rId8" ref="E5"/>
    <hyperlink r:id="rId9" ref="I5"/>
    <hyperlink r:id="rId10" location="gid=437030945" ref="C6"/>
    <hyperlink r:id="rId11" ref="E7"/>
    <hyperlink r:id="rId12" ref="E8"/>
    <hyperlink r:id="rId13" ref="E10"/>
    <hyperlink r:id="rId14" ref="E11"/>
    <hyperlink r:id="rId15" ref="E12"/>
  </hyperlinks>
  <drawing r:id="rId16"/>
  <legacyDrawing r:id="rId17"/>
  <tableParts count="1">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4.25"/>
    <col customWidth="1" min="2" max="2" width="12.88"/>
    <col customWidth="1" min="3" max="3" width="33.38"/>
    <col customWidth="1" min="4" max="4" width="17.25"/>
    <col customWidth="1" min="5" max="5" width="19.63"/>
    <col customWidth="1" min="6" max="6" width="22.38"/>
    <col customWidth="1" min="7" max="7" width="33.75"/>
    <col customWidth="1" min="8" max="8" width="12.75"/>
    <col customWidth="1" min="10" max="10" width="25.0"/>
    <col customWidth="1" min="11" max="11" width="14.75"/>
    <col customWidth="1" min="13" max="13" width="16.88"/>
    <col customWidth="1" min="14" max="14" width="24.88"/>
  </cols>
  <sheetData>
    <row r="1" ht="22.5" customHeight="1">
      <c r="A1" s="25" t="s">
        <v>49</v>
      </c>
      <c r="B1" s="1" t="s">
        <v>50</v>
      </c>
      <c r="C1" s="1" t="s">
        <v>51</v>
      </c>
      <c r="D1" s="26" t="s">
        <v>52</v>
      </c>
      <c r="E1" s="27" t="s">
        <v>53</v>
      </c>
      <c r="F1" s="28" t="s">
        <v>54</v>
      </c>
      <c r="G1" s="27" t="s">
        <v>55</v>
      </c>
      <c r="H1" s="27" t="s">
        <v>56</v>
      </c>
      <c r="I1" s="29" t="s">
        <v>57</v>
      </c>
      <c r="J1" s="29" t="s">
        <v>58</v>
      </c>
      <c r="K1" s="29" t="s">
        <v>59</v>
      </c>
      <c r="L1" s="29" t="s">
        <v>60</v>
      </c>
      <c r="M1" s="29" t="s">
        <v>61</v>
      </c>
      <c r="N1" s="29" t="s">
        <v>62</v>
      </c>
      <c r="O1" s="29" t="s">
        <v>63</v>
      </c>
      <c r="W1" s="30" t="s">
        <v>52</v>
      </c>
      <c r="X1" s="31" t="s">
        <v>64</v>
      </c>
    </row>
    <row r="2" ht="22.5" customHeight="1">
      <c r="A2" s="25"/>
      <c r="B2" s="4"/>
      <c r="C2" s="4" t="s">
        <v>65</v>
      </c>
      <c r="D2" s="9" t="s">
        <v>66</v>
      </c>
      <c r="E2" s="32" t="s">
        <v>67</v>
      </c>
      <c r="F2" s="33" t="s">
        <v>68</v>
      </c>
      <c r="G2" s="34" t="s">
        <v>69</v>
      </c>
      <c r="H2" s="34" t="s">
        <v>70</v>
      </c>
      <c r="X2" s="31"/>
    </row>
    <row r="3" ht="22.5" customHeight="1">
      <c r="A3" s="25">
        <v>1.0</v>
      </c>
      <c r="B3" s="4"/>
      <c r="C3" s="4" t="s">
        <v>65</v>
      </c>
      <c r="D3" s="9" t="s">
        <v>64</v>
      </c>
      <c r="E3" s="32" t="s">
        <v>71</v>
      </c>
      <c r="F3" s="33" t="s">
        <v>68</v>
      </c>
      <c r="G3" s="32" t="s">
        <v>72</v>
      </c>
      <c r="H3" s="35" t="s">
        <v>73</v>
      </c>
      <c r="X3" s="31" t="s">
        <v>74</v>
      </c>
    </row>
    <row r="4" ht="22.5" customHeight="1">
      <c r="A4" s="25">
        <f t="shared" ref="A4:A6" si="1">A3+1</f>
        <v>2</v>
      </c>
      <c r="B4" s="4"/>
      <c r="C4" s="4" t="s">
        <v>65</v>
      </c>
      <c r="D4" s="9" t="s">
        <v>74</v>
      </c>
      <c r="E4" s="32" t="s">
        <v>75</v>
      </c>
      <c r="F4" s="33" t="s">
        <v>76</v>
      </c>
      <c r="G4" s="32" t="s">
        <v>77</v>
      </c>
      <c r="H4" s="35" t="s">
        <v>78</v>
      </c>
      <c r="X4" s="31" t="s">
        <v>79</v>
      </c>
    </row>
    <row r="5" ht="22.5" customHeight="1">
      <c r="A5" s="25">
        <f t="shared" si="1"/>
        <v>3</v>
      </c>
      <c r="B5" s="4"/>
      <c r="C5" s="4" t="s">
        <v>65</v>
      </c>
      <c r="D5" s="9" t="s">
        <v>79</v>
      </c>
      <c r="E5" s="32" t="s">
        <v>80</v>
      </c>
      <c r="F5" s="33" t="s">
        <v>76</v>
      </c>
      <c r="G5" s="32" t="s">
        <v>81</v>
      </c>
      <c r="H5" s="35" t="s">
        <v>82</v>
      </c>
      <c r="X5" s="31" t="s">
        <v>83</v>
      </c>
    </row>
    <row r="6" ht="22.5" customHeight="1">
      <c r="A6" s="25">
        <f t="shared" si="1"/>
        <v>4</v>
      </c>
      <c r="B6" s="4"/>
      <c r="C6" s="4" t="s">
        <v>65</v>
      </c>
      <c r="D6" s="9" t="s">
        <v>83</v>
      </c>
      <c r="E6" s="32" t="s">
        <v>84</v>
      </c>
      <c r="F6" s="33" t="s">
        <v>76</v>
      </c>
      <c r="G6" s="32" t="s">
        <v>85</v>
      </c>
      <c r="H6" s="35" t="s">
        <v>86</v>
      </c>
      <c r="X6" s="31" t="s">
        <v>87</v>
      </c>
    </row>
    <row r="7" ht="22.5" customHeight="1">
      <c r="A7" s="25"/>
      <c r="B7" s="4" t="s">
        <v>88</v>
      </c>
      <c r="C7" s="4" t="s">
        <v>89</v>
      </c>
      <c r="D7" s="9" t="s">
        <v>90</v>
      </c>
      <c r="E7" s="32" t="s">
        <v>91</v>
      </c>
      <c r="F7" s="33" t="s">
        <v>68</v>
      </c>
      <c r="G7" s="32" t="s">
        <v>92</v>
      </c>
      <c r="H7" s="34" t="s">
        <v>93</v>
      </c>
      <c r="I7" s="3" t="s">
        <v>94</v>
      </c>
      <c r="X7" s="31"/>
    </row>
    <row r="8" ht="22.5" customHeight="1">
      <c r="A8" s="25">
        <f>A6+1</f>
        <v>5</v>
      </c>
      <c r="B8" s="4" t="s">
        <v>88</v>
      </c>
      <c r="C8" s="4" t="s">
        <v>89</v>
      </c>
      <c r="D8" s="9" t="s">
        <v>95</v>
      </c>
      <c r="E8" s="32" t="s">
        <v>96</v>
      </c>
      <c r="F8" s="33" t="s">
        <v>68</v>
      </c>
      <c r="G8" s="32" t="s">
        <v>97</v>
      </c>
      <c r="H8" s="34" t="s">
        <v>98</v>
      </c>
      <c r="I8" s="3" t="s">
        <v>94</v>
      </c>
      <c r="X8" s="31"/>
    </row>
    <row r="9" ht="22.5" customHeight="1">
      <c r="A9" s="25">
        <f>A8+1</f>
        <v>6</v>
      </c>
      <c r="B9" s="4"/>
      <c r="C9" s="4" t="s">
        <v>89</v>
      </c>
      <c r="D9" s="9" t="s">
        <v>99</v>
      </c>
      <c r="E9" s="32" t="s">
        <v>100</v>
      </c>
      <c r="F9" s="33" t="s">
        <v>68</v>
      </c>
      <c r="G9" s="32" t="s">
        <v>101</v>
      </c>
      <c r="H9" s="34" t="s">
        <v>102</v>
      </c>
      <c r="X9" s="31"/>
    </row>
    <row r="10" ht="96.75" customHeight="1">
      <c r="A10" s="25"/>
      <c r="B10" s="4"/>
      <c r="C10" s="4" t="s">
        <v>89</v>
      </c>
      <c r="D10" s="9" t="s">
        <v>103</v>
      </c>
      <c r="E10" s="32" t="s">
        <v>104</v>
      </c>
      <c r="F10" s="33" t="s">
        <v>68</v>
      </c>
      <c r="G10" s="34" t="s">
        <v>105</v>
      </c>
      <c r="H10" s="36"/>
      <c r="X10" s="31"/>
    </row>
    <row r="11" ht="22.5" customHeight="1">
      <c r="A11" s="25">
        <f>A9+1</f>
        <v>7</v>
      </c>
      <c r="B11" s="4"/>
      <c r="C11" s="4" t="s">
        <v>89</v>
      </c>
      <c r="D11" s="9" t="s">
        <v>106</v>
      </c>
      <c r="E11" s="32" t="s">
        <v>107</v>
      </c>
      <c r="F11" s="33" t="s">
        <v>68</v>
      </c>
      <c r="G11" s="32" t="s">
        <v>101</v>
      </c>
      <c r="H11" s="34" t="s">
        <v>108</v>
      </c>
      <c r="X11" s="31"/>
    </row>
    <row r="12" ht="22.5" customHeight="1">
      <c r="A12" s="25">
        <f t="shared" ref="A12:A24" si="2">A11+1</f>
        <v>8</v>
      </c>
      <c r="B12" s="4"/>
      <c r="C12" s="4" t="s">
        <v>89</v>
      </c>
      <c r="D12" s="9" t="s">
        <v>87</v>
      </c>
      <c r="E12" s="32" t="s">
        <v>109</v>
      </c>
      <c r="F12" s="33" t="s">
        <v>76</v>
      </c>
      <c r="G12" s="32" t="s">
        <v>110</v>
      </c>
      <c r="H12" s="35" t="s">
        <v>111</v>
      </c>
      <c r="I12" s="3" t="s">
        <v>112</v>
      </c>
      <c r="X12" s="31" t="s">
        <v>113</v>
      </c>
    </row>
    <row r="13" ht="22.5" customHeight="1">
      <c r="A13" s="25">
        <f t="shared" si="2"/>
        <v>9</v>
      </c>
      <c r="B13" s="4"/>
      <c r="C13" s="4" t="s">
        <v>89</v>
      </c>
      <c r="D13" s="9" t="s">
        <v>113</v>
      </c>
      <c r="E13" s="32" t="s">
        <v>114</v>
      </c>
      <c r="F13" s="33" t="s">
        <v>76</v>
      </c>
      <c r="G13" s="32" t="s">
        <v>115</v>
      </c>
      <c r="H13" s="35" t="s">
        <v>116</v>
      </c>
      <c r="X13" s="31" t="s">
        <v>117</v>
      </c>
    </row>
    <row r="14" ht="22.5" customHeight="1">
      <c r="A14" s="25">
        <f t="shared" si="2"/>
        <v>10</v>
      </c>
      <c r="B14" s="4"/>
      <c r="C14" s="4" t="s">
        <v>89</v>
      </c>
      <c r="D14" s="9" t="s">
        <v>117</v>
      </c>
      <c r="E14" s="32" t="s">
        <v>118</v>
      </c>
      <c r="F14" s="33" t="s">
        <v>68</v>
      </c>
      <c r="G14" s="32" t="s">
        <v>119</v>
      </c>
      <c r="H14" s="35" t="s">
        <v>120</v>
      </c>
      <c r="X14" s="31" t="s">
        <v>121</v>
      </c>
    </row>
    <row r="15" ht="22.5" customHeight="1">
      <c r="A15" s="25">
        <f t="shared" si="2"/>
        <v>11</v>
      </c>
      <c r="B15" s="4"/>
      <c r="C15" s="4" t="s">
        <v>122</v>
      </c>
      <c r="D15" s="9" t="s">
        <v>121</v>
      </c>
      <c r="E15" s="32" t="s">
        <v>123</v>
      </c>
      <c r="F15" s="33" t="s">
        <v>76</v>
      </c>
      <c r="G15" s="32" t="s">
        <v>124</v>
      </c>
      <c r="H15" s="35" t="s">
        <v>125</v>
      </c>
      <c r="X15" s="31" t="s">
        <v>126</v>
      </c>
    </row>
    <row r="16" ht="22.5" customHeight="1">
      <c r="A16" s="25">
        <f t="shared" si="2"/>
        <v>12</v>
      </c>
      <c r="B16" s="4"/>
      <c r="C16" s="4" t="s">
        <v>122</v>
      </c>
      <c r="D16" s="9" t="s">
        <v>126</v>
      </c>
      <c r="E16" s="32" t="s">
        <v>127</v>
      </c>
      <c r="F16" s="33" t="s">
        <v>76</v>
      </c>
      <c r="G16" s="32" t="s">
        <v>128</v>
      </c>
      <c r="H16" s="35" t="s">
        <v>129</v>
      </c>
      <c r="X16" s="31" t="s">
        <v>130</v>
      </c>
    </row>
    <row r="17" ht="22.5" customHeight="1">
      <c r="A17" s="25">
        <f t="shared" si="2"/>
        <v>13</v>
      </c>
      <c r="B17" s="4"/>
      <c r="C17" s="4" t="s">
        <v>122</v>
      </c>
      <c r="D17" s="9" t="s">
        <v>130</v>
      </c>
      <c r="E17" s="32" t="s">
        <v>131</v>
      </c>
      <c r="F17" s="33" t="s">
        <v>76</v>
      </c>
      <c r="G17" s="32" t="s">
        <v>132</v>
      </c>
      <c r="H17" s="35" t="s">
        <v>133</v>
      </c>
      <c r="X17" s="31" t="s">
        <v>134</v>
      </c>
    </row>
    <row r="18" ht="22.5" customHeight="1">
      <c r="A18" s="25">
        <f t="shared" si="2"/>
        <v>14</v>
      </c>
      <c r="B18" s="4"/>
      <c r="C18" s="4" t="s">
        <v>122</v>
      </c>
      <c r="D18" s="9" t="s">
        <v>134</v>
      </c>
      <c r="E18" s="32" t="s">
        <v>135</v>
      </c>
      <c r="F18" s="33" t="s">
        <v>76</v>
      </c>
      <c r="G18" s="32" t="s">
        <v>136</v>
      </c>
      <c r="H18" s="35" t="s">
        <v>137</v>
      </c>
      <c r="X18" s="31" t="s">
        <v>138</v>
      </c>
    </row>
    <row r="19" ht="22.5" customHeight="1">
      <c r="A19" s="25">
        <f t="shared" si="2"/>
        <v>15</v>
      </c>
      <c r="B19" s="4" t="s">
        <v>88</v>
      </c>
      <c r="C19" s="4" t="s">
        <v>122</v>
      </c>
      <c r="D19" s="9" t="s">
        <v>138</v>
      </c>
      <c r="E19" s="32" t="s">
        <v>139</v>
      </c>
      <c r="F19" s="33" t="s">
        <v>68</v>
      </c>
      <c r="G19" s="32" t="s">
        <v>140</v>
      </c>
      <c r="H19" s="35" t="s">
        <v>141</v>
      </c>
      <c r="J19" s="3" t="s">
        <v>142</v>
      </c>
      <c r="X19" s="31" t="s">
        <v>143</v>
      </c>
    </row>
    <row r="20" ht="22.5" customHeight="1">
      <c r="A20" s="25">
        <f t="shared" si="2"/>
        <v>16</v>
      </c>
      <c r="B20" s="4"/>
      <c r="C20" s="4" t="s">
        <v>122</v>
      </c>
      <c r="D20" s="9" t="s">
        <v>143</v>
      </c>
      <c r="E20" s="32" t="s">
        <v>144</v>
      </c>
      <c r="F20" s="33" t="s">
        <v>76</v>
      </c>
      <c r="G20" s="32" t="s">
        <v>145</v>
      </c>
      <c r="H20" s="35" t="s">
        <v>146</v>
      </c>
      <c r="X20" s="31" t="s">
        <v>147</v>
      </c>
    </row>
    <row r="21" ht="22.5" customHeight="1">
      <c r="A21" s="25">
        <f t="shared" si="2"/>
        <v>17</v>
      </c>
      <c r="B21" s="37"/>
      <c r="C21" s="37" t="s">
        <v>148</v>
      </c>
      <c r="D21" s="38" t="s">
        <v>147</v>
      </c>
      <c r="E21" s="39" t="s">
        <v>149</v>
      </c>
      <c r="F21" s="33" t="s">
        <v>68</v>
      </c>
      <c r="G21" s="32" t="s">
        <v>150</v>
      </c>
      <c r="H21" s="35" t="s">
        <v>151</v>
      </c>
      <c r="I21" s="3">
        <v>3.0</v>
      </c>
      <c r="X21" s="31" t="s">
        <v>152</v>
      </c>
    </row>
    <row r="22" ht="22.5" customHeight="1">
      <c r="A22" s="25">
        <f t="shared" si="2"/>
        <v>18</v>
      </c>
      <c r="B22" s="4"/>
      <c r="C22" s="4" t="s">
        <v>148</v>
      </c>
      <c r="D22" s="9" t="s">
        <v>152</v>
      </c>
      <c r="E22" s="32" t="s">
        <v>153</v>
      </c>
      <c r="F22" s="33" t="s">
        <v>68</v>
      </c>
      <c r="G22" s="32" t="s">
        <v>154</v>
      </c>
      <c r="H22" s="35" t="s">
        <v>155</v>
      </c>
      <c r="X22" s="31" t="s">
        <v>156</v>
      </c>
    </row>
    <row r="23" ht="22.5" customHeight="1">
      <c r="A23" s="25">
        <f t="shared" si="2"/>
        <v>19</v>
      </c>
      <c r="B23" s="4"/>
      <c r="C23" s="4" t="s">
        <v>148</v>
      </c>
      <c r="D23" s="9" t="s">
        <v>156</v>
      </c>
      <c r="E23" s="32" t="s">
        <v>157</v>
      </c>
      <c r="F23" s="33" t="s">
        <v>76</v>
      </c>
      <c r="G23" s="32" t="s">
        <v>158</v>
      </c>
      <c r="H23" s="35" t="s">
        <v>159</v>
      </c>
      <c r="I23" s="3">
        <v>2.0</v>
      </c>
      <c r="X23" s="31" t="s">
        <v>160</v>
      </c>
    </row>
    <row r="24" ht="22.5" customHeight="1">
      <c r="A24" s="25">
        <f t="shared" si="2"/>
        <v>20</v>
      </c>
      <c r="B24" s="4"/>
      <c r="C24" s="4" t="s">
        <v>148</v>
      </c>
      <c r="D24" s="9" t="s">
        <v>161</v>
      </c>
      <c r="E24" s="32" t="s">
        <v>162</v>
      </c>
      <c r="F24" s="33" t="s">
        <v>68</v>
      </c>
      <c r="G24" s="32" t="s">
        <v>119</v>
      </c>
      <c r="H24" s="35" t="s">
        <v>163</v>
      </c>
      <c r="I24" s="3">
        <v>1.0</v>
      </c>
      <c r="X24" s="31" t="s">
        <v>164</v>
      </c>
    </row>
    <row r="25" ht="22.5" customHeight="1">
      <c r="A25" s="25"/>
      <c r="B25" s="4" t="s">
        <v>88</v>
      </c>
      <c r="C25" s="4" t="s">
        <v>122</v>
      </c>
      <c r="D25" s="9" t="s">
        <v>126</v>
      </c>
      <c r="E25" s="40" t="s">
        <v>165</v>
      </c>
      <c r="F25" s="33" t="s">
        <v>68</v>
      </c>
      <c r="G25" s="32" t="s">
        <v>166</v>
      </c>
      <c r="H25" s="36"/>
      <c r="X25" s="31"/>
    </row>
    <row r="26" ht="22.5" customHeight="1">
      <c r="A26" s="25"/>
      <c r="B26" s="4"/>
      <c r="C26" s="4" t="s">
        <v>167</v>
      </c>
      <c r="D26" s="9" t="s">
        <v>168</v>
      </c>
      <c r="E26" s="32" t="s">
        <v>169</v>
      </c>
      <c r="F26" s="33" t="s">
        <v>68</v>
      </c>
      <c r="G26" s="32" t="s">
        <v>170</v>
      </c>
      <c r="H26" s="34" t="s">
        <v>171</v>
      </c>
      <c r="X26" s="31"/>
    </row>
    <row r="27" ht="22.5" customHeight="1">
      <c r="A27" s="25"/>
      <c r="B27" s="4"/>
      <c r="C27" s="4" t="s">
        <v>167</v>
      </c>
      <c r="D27" s="9" t="s">
        <v>172</v>
      </c>
      <c r="E27" s="32" t="s">
        <v>173</v>
      </c>
      <c r="F27" s="33" t="s">
        <v>68</v>
      </c>
      <c r="G27" s="32" t="s">
        <v>174</v>
      </c>
      <c r="H27" s="34" t="s">
        <v>173</v>
      </c>
      <c r="X27" s="31"/>
    </row>
    <row r="28" ht="22.5" customHeight="1">
      <c r="A28" s="25"/>
      <c r="B28" s="4"/>
      <c r="C28" s="4" t="s">
        <v>167</v>
      </c>
      <c r="D28" s="9" t="s">
        <v>172</v>
      </c>
      <c r="E28" s="32" t="s">
        <v>175</v>
      </c>
      <c r="F28" s="33" t="s">
        <v>68</v>
      </c>
      <c r="G28" s="32" t="s">
        <v>176</v>
      </c>
      <c r="H28" s="34" t="s">
        <v>175</v>
      </c>
      <c r="X28" s="31"/>
    </row>
    <row r="29" ht="22.5" customHeight="1">
      <c r="A29" s="25">
        <f>A24+1</f>
        <v>21</v>
      </c>
      <c r="B29" s="4"/>
      <c r="C29" s="4" t="s">
        <v>167</v>
      </c>
      <c r="D29" s="9" t="s">
        <v>164</v>
      </c>
      <c r="E29" s="32" t="s">
        <v>177</v>
      </c>
      <c r="F29" s="33" t="s">
        <v>76</v>
      </c>
      <c r="G29" s="32" t="s">
        <v>178</v>
      </c>
      <c r="H29" s="35" t="s">
        <v>179</v>
      </c>
      <c r="X29" s="31" t="s">
        <v>168</v>
      </c>
    </row>
    <row r="30" ht="22.5" customHeight="1">
      <c r="A30" s="25"/>
      <c r="B30" s="4"/>
      <c r="C30" s="4" t="s">
        <v>167</v>
      </c>
      <c r="D30" s="9" t="s">
        <v>172</v>
      </c>
      <c r="E30" s="32" t="s">
        <v>180</v>
      </c>
      <c r="F30" s="33" t="s">
        <v>68</v>
      </c>
      <c r="G30" s="32" t="s">
        <v>180</v>
      </c>
      <c r="H30" s="34" t="s">
        <v>180</v>
      </c>
      <c r="X30" s="31"/>
    </row>
    <row r="31" ht="22.5" customHeight="1">
      <c r="A31" s="25">
        <f>A29+1</f>
        <v>22</v>
      </c>
      <c r="B31" s="4"/>
      <c r="C31" s="4" t="s">
        <v>167</v>
      </c>
      <c r="D31" s="9" t="s">
        <v>168</v>
      </c>
      <c r="E31" s="32" t="s">
        <v>181</v>
      </c>
      <c r="F31" s="33" t="s">
        <v>68</v>
      </c>
      <c r="G31" s="32" t="s">
        <v>182</v>
      </c>
      <c r="H31" s="35" t="s">
        <v>183</v>
      </c>
      <c r="X31" s="31" t="s">
        <v>172</v>
      </c>
    </row>
    <row r="32" ht="22.5" customHeight="1">
      <c r="A32" s="25">
        <f>A31+1</f>
        <v>23</v>
      </c>
      <c r="B32" s="4"/>
      <c r="C32" s="4" t="s">
        <v>167</v>
      </c>
      <c r="D32" s="9" t="s">
        <v>172</v>
      </c>
      <c r="E32" s="32" t="s">
        <v>184</v>
      </c>
      <c r="F32" s="33" t="s">
        <v>76</v>
      </c>
      <c r="G32" s="32" t="s">
        <v>128</v>
      </c>
      <c r="H32" s="34" t="s">
        <v>185</v>
      </c>
      <c r="X32" s="31" t="s">
        <v>186</v>
      </c>
    </row>
    <row r="33" ht="22.5" customHeight="1">
      <c r="A33" s="25"/>
      <c r="B33" s="4" t="s">
        <v>88</v>
      </c>
      <c r="C33" s="4" t="s">
        <v>187</v>
      </c>
      <c r="D33" s="9" t="s">
        <v>188</v>
      </c>
      <c r="E33" s="32" t="s">
        <v>189</v>
      </c>
      <c r="F33" s="33" t="s">
        <v>68</v>
      </c>
      <c r="G33" s="32" t="s">
        <v>190</v>
      </c>
      <c r="H33" s="34" t="s">
        <v>191</v>
      </c>
      <c r="J33" s="3" t="s">
        <v>192</v>
      </c>
      <c r="X33" s="31"/>
    </row>
    <row r="34" ht="22.5" customHeight="1">
      <c r="A34" s="25">
        <f>A32+1</f>
        <v>24</v>
      </c>
      <c r="B34" s="4"/>
      <c r="C34" s="4" t="s">
        <v>193</v>
      </c>
      <c r="D34" s="9" t="s">
        <v>186</v>
      </c>
      <c r="E34" s="32" t="s">
        <v>194</v>
      </c>
      <c r="F34" s="33" t="s">
        <v>76</v>
      </c>
      <c r="G34" s="32" t="s">
        <v>195</v>
      </c>
      <c r="H34" s="35" t="s">
        <v>196</v>
      </c>
      <c r="X34" s="31" t="s">
        <v>197</v>
      </c>
    </row>
    <row r="35" ht="22.5" customHeight="1">
      <c r="A35" s="25">
        <f t="shared" ref="A35:A45" si="3">A34+1</f>
        <v>25</v>
      </c>
      <c r="B35" s="4"/>
      <c r="C35" s="4" t="s">
        <v>193</v>
      </c>
      <c r="D35" s="9" t="s">
        <v>197</v>
      </c>
      <c r="E35" s="32" t="s">
        <v>198</v>
      </c>
      <c r="F35" s="33" t="s">
        <v>76</v>
      </c>
      <c r="G35" s="32" t="s">
        <v>199</v>
      </c>
      <c r="H35" s="35" t="s">
        <v>200</v>
      </c>
      <c r="X35" s="31" t="s">
        <v>201</v>
      </c>
    </row>
    <row r="36" ht="22.5" customHeight="1">
      <c r="A36" s="25">
        <f t="shared" si="3"/>
        <v>26</v>
      </c>
      <c r="B36" s="4"/>
      <c r="C36" s="4" t="s">
        <v>193</v>
      </c>
      <c r="D36" s="9" t="s">
        <v>201</v>
      </c>
      <c r="E36" s="32" t="s">
        <v>202</v>
      </c>
      <c r="F36" s="33" t="s">
        <v>76</v>
      </c>
      <c r="G36" s="32" t="s">
        <v>203</v>
      </c>
      <c r="H36" s="35" t="s">
        <v>204</v>
      </c>
      <c r="X36" s="31" t="s">
        <v>188</v>
      </c>
    </row>
    <row r="37" ht="22.5" customHeight="1">
      <c r="A37" s="25">
        <f t="shared" si="3"/>
        <v>27</v>
      </c>
      <c r="B37" s="4"/>
      <c r="C37" s="4" t="s">
        <v>193</v>
      </c>
      <c r="D37" s="9" t="s">
        <v>188</v>
      </c>
      <c r="E37" s="32" t="s">
        <v>205</v>
      </c>
      <c r="F37" s="33" t="s">
        <v>76</v>
      </c>
      <c r="G37" s="32" t="s">
        <v>206</v>
      </c>
      <c r="H37" s="35" t="s">
        <v>207</v>
      </c>
      <c r="X37" s="31" t="s">
        <v>208</v>
      </c>
    </row>
    <row r="38" ht="22.5" customHeight="1">
      <c r="A38" s="25">
        <f t="shared" si="3"/>
        <v>28</v>
      </c>
      <c r="B38" s="4" t="s">
        <v>88</v>
      </c>
      <c r="C38" s="4" t="s">
        <v>187</v>
      </c>
      <c r="D38" s="9" t="s">
        <v>209</v>
      </c>
      <c r="E38" s="32" t="s">
        <v>210</v>
      </c>
      <c r="F38" s="33" t="s">
        <v>68</v>
      </c>
      <c r="G38" s="32" t="s">
        <v>211</v>
      </c>
      <c r="H38" s="34" t="s">
        <v>212</v>
      </c>
      <c r="I38" s="3" t="s">
        <v>213</v>
      </c>
      <c r="J38" s="3" t="s">
        <v>214</v>
      </c>
      <c r="X38" s="31"/>
    </row>
    <row r="39" ht="22.5" customHeight="1">
      <c r="A39" s="25">
        <f t="shared" si="3"/>
        <v>29</v>
      </c>
      <c r="B39" s="4"/>
      <c r="C39" s="4" t="s">
        <v>193</v>
      </c>
      <c r="D39" s="9" t="s">
        <v>215</v>
      </c>
      <c r="E39" s="32" t="s">
        <v>216</v>
      </c>
      <c r="F39" s="33" t="s">
        <v>68</v>
      </c>
      <c r="G39" s="32" t="s">
        <v>217</v>
      </c>
      <c r="H39" s="34" t="s">
        <v>216</v>
      </c>
      <c r="X39" s="31"/>
    </row>
    <row r="40" ht="22.5" customHeight="1">
      <c r="A40" s="25">
        <f t="shared" si="3"/>
        <v>30</v>
      </c>
      <c r="B40" s="4"/>
      <c r="C40" s="4" t="s">
        <v>218</v>
      </c>
      <c r="D40" s="9" t="s">
        <v>208</v>
      </c>
      <c r="E40" s="32" t="s">
        <v>219</v>
      </c>
      <c r="F40" s="33" t="s">
        <v>76</v>
      </c>
      <c r="G40" s="32" t="s">
        <v>128</v>
      </c>
      <c r="H40" s="35" t="s">
        <v>220</v>
      </c>
      <c r="X40" s="31" t="s">
        <v>221</v>
      </c>
    </row>
    <row r="41" ht="22.5" customHeight="1">
      <c r="A41" s="25">
        <f t="shared" si="3"/>
        <v>31</v>
      </c>
      <c r="B41" s="4"/>
      <c r="C41" s="4" t="s">
        <v>218</v>
      </c>
      <c r="D41" s="9" t="s">
        <v>222</v>
      </c>
      <c r="F41" s="7" t="s">
        <v>76</v>
      </c>
      <c r="X41" s="31" t="s">
        <v>223</v>
      </c>
    </row>
    <row r="42" ht="22.5" customHeight="1">
      <c r="A42" s="25">
        <f t="shared" si="3"/>
        <v>32</v>
      </c>
      <c r="B42" s="4"/>
      <c r="C42" s="4" t="s">
        <v>218</v>
      </c>
      <c r="D42" s="9" t="s">
        <v>224</v>
      </c>
      <c r="E42" s="32" t="s">
        <v>225</v>
      </c>
      <c r="F42" s="33" t="s">
        <v>76</v>
      </c>
      <c r="G42" s="32" t="s">
        <v>226</v>
      </c>
      <c r="H42" s="35" t="s">
        <v>227</v>
      </c>
      <c r="X42" s="25" t="s">
        <v>228</v>
      </c>
    </row>
    <row r="43" ht="22.5" customHeight="1">
      <c r="A43" s="25">
        <f t="shared" si="3"/>
        <v>33</v>
      </c>
      <c r="B43" s="4"/>
      <c r="C43" s="4" t="s">
        <v>229</v>
      </c>
      <c r="D43" s="3" t="s">
        <v>228</v>
      </c>
      <c r="E43" s="32" t="s">
        <v>230</v>
      </c>
      <c r="F43" s="33" t="s">
        <v>76</v>
      </c>
      <c r="G43" s="32" t="s">
        <v>231</v>
      </c>
      <c r="H43" s="35" t="s">
        <v>232</v>
      </c>
      <c r="X43" s="31" t="s">
        <v>233</v>
      </c>
    </row>
    <row r="44" ht="22.5" customHeight="1">
      <c r="A44" s="25">
        <f t="shared" si="3"/>
        <v>34</v>
      </c>
      <c r="B44" s="4"/>
      <c r="C44" s="4" t="s">
        <v>229</v>
      </c>
      <c r="D44" s="9" t="s">
        <v>233</v>
      </c>
      <c r="E44" s="32" t="s">
        <v>234</v>
      </c>
      <c r="F44" s="33" t="s">
        <v>76</v>
      </c>
      <c r="G44" s="32" t="s">
        <v>235</v>
      </c>
      <c r="H44" s="35" t="s">
        <v>236</v>
      </c>
      <c r="X44" s="25" t="s">
        <v>237</v>
      </c>
    </row>
    <row r="45" ht="22.5" customHeight="1">
      <c r="A45" s="25">
        <f t="shared" si="3"/>
        <v>35</v>
      </c>
      <c r="B45" s="37"/>
      <c r="C45" s="37" t="s">
        <v>229</v>
      </c>
      <c r="D45" s="41" t="s">
        <v>237</v>
      </c>
      <c r="E45" s="39" t="s">
        <v>71</v>
      </c>
      <c r="F45" s="42"/>
      <c r="G45" s="39" t="s">
        <v>72</v>
      </c>
      <c r="H45" s="43" t="s">
        <v>238</v>
      </c>
    </row>
    <row r="46" ht="22.5" customHeight="1">
      <c r="D46" s="44"/>
      <c r="F46" s="24"/>
    </row>
    <row r="47" ht="22.5" customHeight="1">
      <c r="A47" s="25">
        <v>36.0</v>
      </c>
      <c r="B47" s="4"/>
      <c r="C47" s="4" t="s">
        <v>239</v>
      </c>
      <c r="D47" s="9" t="s">
        <v>240</v>
      </c>
      <c r="E47" s="3"/>
      <c r="F47" s="11"/>
      <c r="G47" s="3"/>
      <c r="H47" s="3"/>
    </row>
    <row r="48" ht="22.5" customHeight="1">
      <c r="A48" s="25">
        <f>A47+1</f>
        <v>37</v>
      </c>
      <c r="B48" s="4"/>
      <c r="C48" s="4" t="s">
        <v>148</v>
      </c>
      <c r="D48" s="9" t="s">
        <v>241</v>
      </c>
      <c r="E48" s="32" t="s">
        <v>242</v>
      </c>
      <c r="F48" s="33" t="s">
        <v>76</v>
      </c>
      <c r="G48" s="32" t="s">
        <v>243</v>
      </c>
      <c r="H48" s="34" t="s">
        <v>244</v>
      </c>
      <c r="I48" s="3">
        <v>3.0</v>
      </c>
    </row>
    <row r="49" ht="22.5" customHeight="1">
      <c r="B49" s="45"/>
      <c r="C49" s="45" t="s">
        <v>245</v>
      </c>
      <c r="D49" s="46"/>
      <c r="E49" s="47"/>
      <c r="F49" s="48"/>
      <c r="G49" s="47"/>
      <c r="H49" s="49"/>
      <c r="I49" s="50"/>
      <c r="J49" s="51"/>
      <c r="K49" s="51"/>
      <c r="L49" s="51"/>
      <c r="M49" s="51"/>
      <c r="N49" s="51"/>
      <c r="O49" s="51"/>
    </row>
    <row r="50">
      <c r="D50" s="52"/>
    </row>
    <row r="51">
      <c r="D51" s="52"/>
    </row>
    <row r="52">
      <c r="D52" s="52"/>
    </row>
    <row r="53">
      <c r="D53" s="52"/>
    </row>
    <row r="54">
      <c r="D54" s="52"/>
    </row>
    <row r="55">
      <c r="D55" s="52"/>
    </row>
    <row r="56">
      <c r="D56" s="52"/>
    </row>
    <row r="57">
      <c r="D57" s="52"/>
    </row>
    <row r="58">
      <c r="D58" s="52"/>
    </row>
    <row r="59">
      <c r="D59" s="52"/>
    </row>
    <row r="60">
      <c r="D60" s="52"/>
    </row>
    <row r="61">
      <c r="D61" s="52"/>
    </row>
    <row r="62">
      <c r="D62" s="52"/>
    </row>
    <row r="63">
      <c r="D63" s="52"/>
    </row>
    <row r="64">
      <c r="D64" s="52"/>
    </row>
    <row r="65">
      <c r="D65" s="52"/>
    </row>
    <row r="66">
      <c r="D66" s="52"/>
    </row>
    <row r="67">
      <c r="D67" s="52"/>
    </row>
    <row r="68">
      <c r="D68" s="52"/>
    </row>
    <row r="69">
      <c r="D69" s="52"/>
    </row>
    <row r="70">
      <c r="D70" s="52"/>
    </row>
    <row r="71">
      <c r="D71" s="52"/>
    </row>
    <row r="72">
      <c r="D72" s="52"/>
    </row>
    <row r="73">
      <c r="D73" s="52"/>
    </row>
    <row r="74">
      <c r="D74" s="52"/>
    </row>
    <row r="75">
      <c r="D75" s="52"/>
    </row>
    <row r="76">
      <c r="D76" s="52"/>
    </row>
    <row r="77">
      <c r="D77" s="52"/>
    </row>
    <row r="78">
      <c r="D78" s="52"/>
    </row>
    <row r="79">
      <c r="D79" s="52"/>
    </row>
    <row r="80">
      <c r="D80" s="52"/>
    </row>
    <row r="81">
      <c r="D81" s="52"/>
    </row>
    <row r="82">
      <c r="D82" s="52"/>
    </row>
    <row r="83">
      <c r="D83" s="52"/>
    </row>
    <row r="84">
      <c r="D84" s="52"/>
    </row>
    <row r="85">
      <c r="D85" s="52"/>
    </row>
    <row r="86">
      <c r="D86" s="52"/>
    </row>
    <row r="87">
      <c r="D87" s="52"/>
    </row>
    <row r="88">
      <c r="D88" s="52"/>
    </row>
    <row r="89">
      <c r="D89" s="52"/>
    </row>
    <row r="90">
      <c r="D90" s="52"/>
    </row>
    <row r="91">
      <c r="D91" s="52"/>
    </row>
    <row r="92">
      <c r="D92" s="52"/>
    </row>
    <row r="93">
      <c r="D93" s="52"/>
    </row>
    <row r="94">
      <c r="D94" s="52"/>
    </row>
    <row r="95">
      <c r="D95" s="52"/>
    </row>
    <row r="96">
      <c r="D96" s="52"/>
    </row>
    <row r="97">
      <c r="D97" s="52"/>
    </row>
    <row r="98">
      <c r="D98" s="52"/>
    </row>
    <row r="99">
      <c r="D99" s="52"/>
    </row>
    <row r="100">
      <c r="D100" s="52"/>
    </row>
    <row r="101">
      <c r="D101" s="52"/>
    </row>
    <row r="102">
      <c r="D102" s="52"/>
    </row>
    <row r="103">
      <c r="D103" s="52"/>
    </row>
    <row r="104">
      <c r="D104" s="52"/>
    </row>
    <row r="105">
      <c r="D105" s="52"/>
    </row>
    <row r="106">
      <c r="D106" s="52"/>
    </row>
    <row r="107">
      <c r="D107" s="52"/>
    </row>
    <row r="108">
      <c r="D108" s="52"/>
    </row>
    <row r="109">
      <c r="D109" s="52"/>
    </row>
    <row r="110">
      <c r="D110" s="52"/>
    </row>
    <row r="111">
      <c r="D111" s="52"/>
    </row>
    <row r="112">
      <c r="D112" s="52"/>
    </row>
    <row r="113">
      <c r="D113" s="52"/>
    </row>
    <row r="114">
      <c r="D114" s="52"/>
    </row>
    <row r="115">
      <c r="D115" s="52"/>
    </row>
    <row r="116">
      <c r="D116" s="52"/>
    </row>
    <row r="117">
      <c r="D117" s="52"/>
    </row>
    <row r="118">
      <c r="D118" s="52"/>
    </row>
    <row r="119">
      <c r="D119" s="52"/>
    </row>
    <row r="120">
      <c r="D120" s="52"/>
    </row>
    <row r="121">
      <c r="D121" s="52"/>
    </row>
    <row r="122">
      <c r="D122" s="52"/>
    </row>
    <row r="123">
      <c r="D123" s="52"/>
    </row>
    <row r="124">
      <c r="D124" s="52"/>
    </row>
    <row r="125">
      <c r="D125" s="52"/>
    </row>
    <row r="126">
      <c r="D126" s="52"/>
    </row>
    <row r="127">
      <c r="D127" s="52"/>
    </row>
    <row r="128">
      <c r="D128" s="52"/>
    </row>
    <row r="129">
      <c r="D129" s="52"/>
    </row>
    <row r="130">
      <c r="D130" s="52"/>
    </row>
    <row r="131">
      <c r="D131" s="52"/>
    </row>
    <row r="132">
      <c r="D132" s="52"/>
    </row>
    <row r="133">
      <c r="D133" s="52"/>
    </row>
    <row r="134">
      <c r="D134" s="52"/>
    </row>
    <row r="135">
      <c r="D135" s="52"/>
    </row>
    <row r="136">
      <c r="D136" s="52"/>
    </row>
    <row r="137">
      <c r="D137" s="52"/>
    </row>
    <row r="138">
      <c r="D138" s="52"/>
    </row>
    <row r="139">
      <c r="D139" s="52"/>
    </row>
    <row r="140">
      <c r="D140" s="52"/>
    </row>
    <row r="141">
      <c r="D141" s="52"/>
    </row>
    <row r="142">
      <c r="D142" s="52"/>
    </row>
    <row r="143">
      <c r="D143" s="52"/>
    </row>
    <row r="144">
      <c r="D144" s="52"/>
    </row>
    <row r="145">
      <c r="D145" s="52"/>
    </row>
    <row r="146">
      <c r="D146" s="52"/>
    </row>
    <row r="147">
      <c r="D147" s="52"/>
    </row>
    <row r="148">
      <c r="D148" s="52"/>
    </row>
    <row r="149">
      <c r="D149" s="52"/>
    </row>
    <row r="150">
      <c r="D150" s="52"/>
    </row>
    <row r="151">
      <c r="D151" s="52"/>
    </row>
    <row r="152">
      <c r="D152" s="52"/>
    </row>
    <row r="153">
      <c r="D153" s="52"/>
    </row>
    <row r="154">
      <c r="D154" s="52"/>
    </row>
    <row r="155">
      <c r="D155" s="52"/>
    </row>
    <row r="156">
      <c r="D156" s="52"/>
    </row>
    <row r="157">
      <c r="D157" s="52"/>
    </row>
    <row r="158">
      <c r="D158" s="52"/>
    </row>
    <row r="159">
      <c r="D159" s="52"/>
    </row>
    <row r="160">
      <c r="D160" s="52"/>
    </row>
    <row r="161">
      <c r="D161" s="52"/>
    </row>
    <row r="162">
      <c r="D162" s="52"/>
    </row>
    <row r="163">
      <c r="D163" s="52"/>
    </row>
    <row r="164">
      <c r="D164" s="52"/>
    </row>
    <row r="165">
      <c r="D165" s="52"/>
    </row>
    <row r="166">
      <c r="D166" s="52"/>
    </row>
    <row r="167">
      <c r="D167" s="52"/>
    </row>
    <row r="168">
      <c r="D168" s="52"/>
    </row>
    <row r="169">
      <c r="D169" s="52"/>
    </row>
    <row r="170">
      <c r="D170" s="52"/>
    </row>
    <row r="171">
      <c r="D171" s="52"/>
    </row>
    <row r="172">
      <c r="D172" s="52"/>
    </row>
    <row r="173">
      <c r="D173" s="52"/>
    </row>
    <row r="174">
      <c r="D174" s="52"/>
    </row>
    <row r="175">
      <c r="D175" s="52"/>
    </row>
    <row r="176">
      <c r="D176" s="52"/>
    </row>
    <row r="177">
      <c r="D177" s="52"/>
    </row>
    <row r="178">
      <c r="D178" s="52"/>
    </row>
    <row r="179">
      <c r="D179" s="52"/>
    </row>
    <row r="180">
      <c r="D180" s="52"/>
    </row>
    <row r="181">
      <c r="D181" s="52"/>
    </row>
    <row r="182">
      <c r="D182" s="52"/>
    </row>
    <row r="183">
      <c r="D183" s="52"/>
    </row>
    <row r="184">
      <c r="D184" s="52"/>
    </row>
    <row r="185">
      <c r="D185" s="52"/>
    </row>
    <row r="186">
      <c r="D186" s="52"/>
    </row>
    <row r="187">
      <c r="D187" s="52"/>
    </row>
    <row r="188">
      <c r="D188" s="52"/>
    </row>
    <row r="189">
      <c r="D189" s="52"/>
    </row>
    <row r="190">
      <c r="D190" s="52"/>
    </row>
    <row r="191">
      <c r="D191" s="52"/>
    </row>
    <row r="192">
      <c r="D192" s="52"/>
    </row>
    <row r="193">
      <c r="D193" s="52"/>
    </row>
    <row r="194">
      <c r="D194" s="52"/>
    </row>
    <row r="195">
      <c r="D195" s="52"/>
    </row>
    <row r="196">
      <c r="D196" s="52"/>
    </row>
    <row r="197">
      <c r="D197" s="52"/>
    </row>
    <row r="198">
      <c r="D198" s="52"/>
    </row>
    <row r="199">
      <c r="D199" s="52"/>
    </row>
    <row r="200">
      <c r="D200" s="52"/>
    </row>
    <row r="201">
      <c r="D201" s="52"/>
    </row>
    <row r="202">
      <c r="D202" s="52"/>
    </row>
    <row r="203">
      <c r="D203" s="52"/>
    </row>
    <row r="204">
      <c r="D204" s="52"/>
    </row>
    <row r="205">
      <c r="D205" s="52"/>
    </row>
    <row r="206">
      <c r="D206" s="52"/>
    </row>
    <row r="207">
      <c r="D207" s="52"/>
    </row>
    <row r="208">
      <c r="D208" s="52"/>
    </row>
    <row r="209">
      <c r="D209" s="52"/>
    </row>
    <row r="210">
      <c r="D210" s="52"/>
    </row>
    <row r="211">
      <c r="D211" s="52"/>
    </row>
    <row r="212">
      <c r="D212" s="52"/>
    </row>
    <row r="213">
      <c r="D213" s="52"/>
    </row>
    <row r="214">
      <c r="D214" s="52"/>
    </row>
    <row r="215">
      <c r="D215" s="52"/>
    </row>
    <row r="216">
      <c r="D216" s="52"/>
    </row>
    <row r="217">
      <c r="D217" s="52"/>
    </row>
    <row r="218">
      <c r="D218" s="52"/>
    </row>
    <row r="219">
      <c r="D219" s="52"/>
    </row>
    <row r="220">
      <c r="D220" s="52"/>
    </row>
    <row r="221">
      <c r="D221" s="52"/>
    </row>
    <row r="222">
      <c r="D222" s="52"/>
    </row>
    <row r="223">
      <c r="D223" s="52"/>
    </row>
    <row r="224">
      <c r="D224" s="52"/>
    </row>
    <row r="225">
      <c r="D225" s="52"/>
    </row>
    <row r="226">
      <c r="D226" s="52"/>
    </row>
    <row r="227">
      <c r="D227" s="52"/>
    </row>
    <row r="228">
      <c r="D228" s="52"/>
    </row>
    <row r="229">
      <c r="D229" s="52"/>
    </row>
    <row r="230">
      <c r="D230" s="52"/>
    </row>
    <row r="231">
      <c r="D231" s="52"/>
    </row>
    <row r="232">
      <c r="D232" s="52"/>
    </row>
    <row r="233">
      <c r="D233" s="52"/>
    </row>
    <row r="234">
      <c r="D234" s="52"/>
    </row>
    <row r="235">
      <c r="D235" s="52"/>
    </row>
    <row r="236">
      <c r="D236" s="52"/>
    </row>
    <row r="237">
      <c r="D237" s="52"/>
    </row>
    <row r="238">
      <c r="D238" s="52"/>
    </row>
    <row r="239">
      <c r="D239" s="52"/>
    </row>
    <row r="240">
      <c r="D240" s="52"/>
    </row>
    <row r="241">
      <c r="D241" s="52"/>
    </row>
    <row r="242">
      <c r="D242" s="52"/>
    </row>
    <row r="243">
      <c r="D243" s="52"/>
    </row>
    <row r="244">
      <c r="D244" s="52"/>
    </row>
    <row r="245">
      <c r="D245" s="52"/>
    </row>
    <row r="246">
      <c r="D246" s="52"/>
    </row>
    <row r="247">
      <c r="D247" s="52"/>
    </row>
    <row r="248">
      <c r="D248" s="52"/>
    </row>
    <row r="249">
      <c r="D249" s="52"/>
    </row>
    <row r="250">
      <c r="D250" s="52"/>
    </row>
    <row r="251">
      <c r="D251" s="52"/>
    </row>
    <row r="252">
      <c r="D252" s="52"/>
    </row>
    <row r="253">
      <c r="D253" s="52"/>
    </row>
    <row r="254">
      <c r="D254" s="52"/>
    </row>
    <row r="255">
      <c r="D255" s="52"/>
    </row>
    <row r="256">
      <c r="D256" s="52"/>
    </row>
    <row r="257">
      <c r="D257" s="52"/>
    </row>
    <row r="258">
      <c r="D258" s="52"/>
    </row>
    <row r="259">
      <c r="D259" s="52"/>
    </row>
    <row r="260">
      <c r="D260" s="52"/>
    </row>
    <row r="261">
      <c r="D261" s="52"/>
    </row>
    <row r="262">
      <c r="D262" s="52"/>
    </row>
    <row r="263">
      <c r="D263" s="52"/>
    </row>
    <row r="264">
      <c r="D264" s="52"/>
    </row>
    <row r="265">
      <c r="D265" s="52"/>
    </row>
    <row r="266">
      <c r="D266" s="52"/>
    </row>
    <row r="267">
      <c r="D267" s="52"/>
    </row>
    <row r="268">
      <c r="D268" s="52"/>
    </row>
    <row r="269">
      <c r="D269" s="52"/>
    </row>
    <row r="270">
      <c r="D270" s="52"/>
    </row>
    <row r="271">
      <c r="D271" s="52"/>
    </row>
    <row r="272">
      <c r="D272" s="52"/>
    </row>
    <row r="273">
      <c r="D273" s="52"/>
    </row>
    <row r="274">
      <c r="D274" s="52"/>
    </row>
    <row r="275">
      <c r="D275" s="52"/>
    </row>
    <row r="276">
      <c r="D276" s="52"/>
    </row>
    <row r="277">
      <c r="D277" s="52"/>
    </row>
    <row r="278">
      <c r="D278" s="52"/>
    </row>
    <row r="279">
      <c r="D279" s="52"/>
    </row>
    <row r="280">
      <c r="D280" s="52"/>
    </row>
    <row r="281">
      <c r="D281" s="52"/>
    </row>
    <row r="282">
      <c r="D282" s="52"/>
    </row>
    <row r="283">
      <c r="D283" s="52"/>
    </row>
    <row r="284">
      <c r="D284" s="52"/>
    </row>
    <row r="285">
      <c r="D285" s="52"/>
    </row>
    <row r="286">
      <c r="D286" s="52"/>
    </row>
    <row r="287">
      <c r="D287" s="52"/>
    </row>
    <row r="288">
      <c r="D288" s="52"/>
    </row>
    <row r="289">
      <c r="D289" s="52"/>
    </row>
    <row r="290">
      <c r="D290" s="52"/>
    </row>
    <row r="291">
      <c r="D291" s="52"/>
    </row>
    <row r="292">
      <c r="D292" s="52"/>
    </row>
    <row r="293">
      <c r="D293" s="52"/>
    </row>
    <row r="294">
      <c r="D294" s="52"/>
    </row>
    <row r="295">
      <c r="D295" s="52"/>
    </row>
    <row r="296">
      <c r="D296" s="52"/>
    </row>
    <row r="297">
      <c r="D297" s="52"/>
    </row>
    <row r="298">
      <c r="D298" s="52"/>
    </row>
    <row r="299">
      <c r="D299" s="52"/>
    </row>
    <row r="300">
      <c r="D300" s="52"/>
    </row>
    <row r="301">
      <c r="D301" s="52"/>
    </row>
    <row r="302">
      <c r="D302" s="52"/>
    </row>
    <row r="303">
      <c r="D303" s="52"/>
    </row>
    <row r="304">
      <c r="D304" s="52"/>
    </row>
    <row r="305">
      <c r="D305" s="52"/>
    </row>
    <row r="306">
      <c r="D306" s="52"/>
    </row>
    <row r="307">
      <c r="D307" s="52"/>
    </row>
    <row r="308">
      <c r="D308" s="52"/>
    </row>
    <row r="309">
      <c r="D309" s="52"/>
    </row>
    <row r="310">
      <c r="D310" s="52"/>
    </row>
    <row r="311">
      <c r="D311" s="52"/>
    </row>
    <row r="312">
      <c r="D312" s="52"/>
    </row>
    <row r="313">
      <c r="D313" s="52"/>
    </row>
    <row r="314">
      <c r="D314" s="52"/>
    </row>
    <row r="315">
      <c r="D315" s="52"/>
    </row>
    <row r="316">
      <c r="D316" s="52"/>
    </row>
    <row r="317">
      <c r="D317" s="52"/>
    </row>
    <row r="318">
      <c r="D318" s="52"/>
    </row>
    <row r="319">
      <c r="D319" s="52"/>
    </row>
    <row r="320">
      <c r="D320" s="52"/>
    </row>
    <row r="321">
      <c r="D321" s="52"/>
    </row>
    <row r="322">
      <c r="D322" s="52"/>
    </row>
    <row r="323">
      <c r="D323" s="52"/>
    </row>
    <row r="324">
      <c r="D324" s="52"/>
    </row>
    <row r="325">
      <c r="D325" s="52"/>
    </row>
    <row r="326">
      <c r="D326" s="52"/>
    </row>
    <row r="327">
      <c r="D327" s="52"/>
    </row>
    <row r="328">
      <c r="D328" s="52"/>
    </row>
    <row r="329">
      <c r="D329" s="52"/>
    </row>
    <row r="330">
      <c r="D330" s="52"/>
    </row>
    <row r="331">
      <c r="D331" s="52"/>
    </row>
    <row r="332">
      <c r="D332" s="52"/>
    </row>
    <row r="333">
      <c r="D333" s="52"/>
    </row>
    <row r="334">
      <c r="D334" s="52"/>
    </row>
    <row r="335">
      <c r="D335" s="52"/>
    </row>
    <row r="336">
      <c r="D336" s="52"/>
    </row>
    <row r="337">
      <c r="D337" s="52"/>
    </row>
    <row r="338">
      <c r="D338" s="52"/>
    </row>
    <row r="339">
      <c r="D339" s="52"/>
    </row>
    <row r="340">
      <c r="D340" s="52"/>
    </row>
    <row r="341">
      <c r="D341" s="52"/>
    </row>
    <row r="342">
      <c r="D342" s="52"/>
    </row>
    <row r="343">
      <c r="D343" s="52"/>
    </row>
    <row r="344">
      <c r="D344" s="52"/>
    </row>
    <row r="345">
      <c r="D345" s="52"/>
    </row>
    <row r="346">
      <c r="D346" s="52"/>
    </row>
    <row r="347">
      <c r="D347" s="52"/>
    </row>
    <row r="348">
      <c r="D348" s="52"/>
    </row>
    <row r="349">
      <c r="D349" s="52"/>
    </row>
    <row r="350">
      <c r="D350" s="52"/>
    </row>
    <row r="351">
      <c r="D351" s="52"/>
    </row>
    <row r="352">
      <c r="D352" s="52"/>
    </row>
    <row r="353">
      <c r="D353" s="52"/>
    </row>
    <row r="354">
      <c r="D354" s="52"/>
    </row>
    <row r="355">
      <c r="D355" s="52"/>
    </row>
    <row r="356">
      <c r="D356" s="52"/>
    </row>
    <row r="357">
      <c r="D357" s="52"/>
    </row>
    <row r="358">
      <c r="D358" s="52"/>
    </row>
    <row r="359">
      <c r="D359" s="52"/>
    </row>
    <row r="360">
      <c r="D360" s="52"/>
    </row>
    <row r="361">
      <c r="D361" s="52"/>
    </row>
    <row r="362">
      <c r="D362" s="52"/>
    </row>
    <row r="363">
      <c r="D363" s="52"/>
    </row>
    <row r="364">
      <c r="D364" s="52"/>
    </row>
    <row r="365">
      <c r="D365" s="52"/>
    </row>
    <row r="366">
      <c r="D366" s="52"/>
    </row>
    <row r="367">
      <c r="D367" s="52"/>
    </row>
    <row r="368">
      <c r="D368" s="52"/>
    </row>
    <row r="369">
      <c r="D369" s="52"/>
    </row>
    <row r="370">
      <c r="D370" s="52"/>
    </row>
    <row r="371">
      <c r="D371" s="52"/>
    </row>
    <row r="372">
      <c r="D372" s="52"/>
    </row>
    <row r="373">
      <c r="D373" s="52"/>
    </row>
    <row r="374">
      <c r="D374" s="52"/>
    </row>
    <row r="375">
      <c r="D375" s="52"/>
    </row>
    <row r="376">
      <c r="D376" s="52"/>
    </row>
    <row r="377">
      <c r="D377" s="52"/>
    </row>
    <row r="378">
      <c r="D378" s="52"/>
    </row>
    <row r="379">
      <c r="D379" s="52"/>
    </row>
    <row r="380">
      <c r="D380" s="52"/>
    </row>
    <row r="381">
      <c r="D381" s="52"/>
    </row>
    <row r="382">
      <c r="D382" s="52"/>
    </row>
    <row r="383">
      <c r="D383" s="52"/>
    </row>
    <row r="384">
      <c r="D384" s="52"/>
    </row>
    <row r="385">
      <c r="D385" s="52"/>
    </row>
    <row r="386">
      <c r="D386" s="52"/>
    </row>
    <row r="387">
      <c r="D387" s="52"/>
    </row>
    <row r="388">
      <c r="D388" s="52"/>
    </row>
    <row r="389">
      <c r="D389" s="52"/>
    </row>
    <row r="390">
      <c r="D390" s="52"/>
    </row>
    <row r="391">
      <c r="D391" s="52"/>
    </row>
    <row r="392">
      <c r="D392" s="52"/>
    </row>
    <row r="393">
      <c r="D393" s="52"/>
    </row>
    <row r="394">
      <c r="D394" s="52"/>
    </row>
    <row r="395">
      <c r="D395" s="52"/>
    </row>
    <row r="396">
      <c r="D396" s="52"/>
    </row>
    <row r="397">
      <c r="D397" s="52"/>
    </row>
    <row r="398">
      <c r="D398" s="52"/>
    </row>
    <row r="399">
      <c r="D399" s="52"/>
    </row>
    <row r="400">
      <c r="D400" s="52"/>
    </row>
    <row r="401">
      <c r="D401" s="52"/>
    </row>
    <row r="402">
      <c r="D402" s="52"/>
    </row>
    <row r="403">
      <c r="D403" s="52"/>
    </row>
    <row r="404">
      <c r="D404" s="52"/>
    </row>
    <row r="405">
      <c r="D405" s="52"/>
    </row>
    <row r="406">
      <c r="D406" s="52"/>
    </row>
    <row r="407">
      <c r="D407" s="52"/>
    </row>
    <row r="408">
      <c r="D408" s="52"/>
    </row>
    <row r="409">
      <c r="D409" s="52"/>
    </row>
    <row r="410">
      <c r="D410" s="52"/>
    </row>
    <row r="411">
      <c r="D411" s="52"/>
    </row>
    <row r="412">
      <c r="D412" s="52"/>
    </row>
    <row r="413">
      <c r="D413" s="52"/>
    </row>
    <row r="414">
      <c r="D414" s="52"/>
    </row>
    <row r="415">
      <c r="D415" s="52"/>
    </row>
    <row r="416">
      <c r="D416" s="52"/>
    </row>
    <row r="417">
      <c r="D417" s="52"/>
    </row>
    <row r="418">
      <c r="D418" s="52"/>
    </row>
    <row r="419">
      <c r="D419" s="52"/>
    </row>
    <row r="420">
      <c r="D420" s="52"/>
    </row>
    <row r="421">
      <c r="D421" s="52"/>
    </row>
    <row r="422">
      <c r="D422" s="52"/>
    </row>
    <row r="423">
      <c r="D423" s="52"/>
    </row>
    <row r="424">
      <c r="D424" s="52"/>
    </row>
    <row r="425">
      <c r="D425" s="52"/>
    </row>
    <row r="426">
      <c r="D426" s="52"/>
    </row>
    <row r="427">
      <c r="D427" s="52"/>
    </row>
    <row r="428">
      <c r="D428" s="52"/>
    </row>
    <row r="429">
      <c r="D429" s="52"/>
    </row>
    <row r="430">
      <c r="D430" s="52"/>
    </row>
    <row r="431">
      <c r="D431" s="52"/>
    </row>
    <row r="432">
      <c r="D432" s="52"/>
    </row>
    <row r="433">
      <c r="D433" s="52"/>
    </row>
    <row r="434">
      <c r="D434" s="52"/>
    </row>
    <row r="435">
      <c r="D435" s="52"/>
    </row>
    <row r="436">
      <c r="D436" s="52"/>
    </row>
    <row r="437">
      <c r="D437" s="52"/>
    </row>
    <row r="438">
      <c r="D438" s="52"/>
    </row>
    <row r="439">
      <c r="D439" s="52"/>
    </row>
    <row r="440">
      <c r="D440" s="52"/>
    </row>
    <row r="441">
      <c r="D441" s="52"/>
    </row>
    <row r="442">
      <c r="D442" s="52"/>
    </row>
    <row r="443">
      <c r="D443" s="52"/>
    </row>
    <row r="444">
      <c r="D444" s="52"/>
    </row>
    <row r="445">
      <c r="D445" s="52"/>
    </row>
    <row r="446">
      <c r="D446" s="52"/>
    </row>
    <row r="447">
      <c r="D447" s="52"/>
    </row>
    <row r="448">
      <c r="D448" s="52"/>
    </row>
    <row r="449">
      <c r="D449" s="52"/>
    </row>
    <row r="450">
      <c r="D450" s="52"/>
    </row>
    <row r="451">
      <c r="D451" s="52"/>
    </row>
    <row r="452">
      <c r="D452" s="52"/>
    </row>
    <row r="453">
      <c r="D453" s="52"/>
    </row>
    <row r="454">
      <c r="D454" s="52"/>
    </row>
    <row r="455">
      <c r="D455" s="52"/>
    </row>
    <row r="456">
      <c r="D456" s="52"/>
    </row>
    <row r="457">
      <c r="D457" s="52"/>
    </row>
    <row r="458">
      <c r="D458" s="52"/>
    </row>
    <row r="459">
      <c r="D459" s="52"/>
    </row>
    <row r="460">
      <c r="D460" s="52"/>
    </row>
    <row r="461">
      <c r="D461" s="52"/>
    </row>
    <row r="462">
      <c r="D462" s="52"/>
    </row>
    <row r="463">
      <c r="D463" s="52"/>
    </row>
    <row r="464">
      <c r="D464" s="52"/>
    </row>
    <row r="465">
      <c r="D465" s="52"/>
    </row>
    <row r="466">
      <c r="D466" s="52"/>
    </row>
    <row r="467">
      <c r="D467" s="52"/>
    </row>
    <row r="468">
      <c r="D468" s="52"/>
    </row>
    <row r="469">
      <c r="D469" s="52"/>
    </row>
    <row r="470">
      <c r="D470" s="52"/>
    </row>
    <row r="471">
      <c r="D471" s="52"/>
    </row>
    <row r="472">
      <c r="D472" s="52"/>
    </row>
    <row r="473">
      <c r="D473" s="52"/>
    </row>
    <row r="474">
      <c r="D474" s="52"/>
    </row>
    <row r="475">
      <c r="D475" s="52"/>
    </row>
    <row r="476">
      <c r="D476" s="52"/>
    </row>
    <row r="477">
      <c r="D477" s="52"/>
    </row>
    <row r="478">
      <c r="D478" s="52"/>
    </row>
    <row r="479">
      <c r="D479" s="52"/>
    </row>
    <row r="480">
      <c r="D480" s="52"/>
    </row>
    <row r="481">
      <c r="D481" s="52"/>
    </row>
    <row r="482">
      <c r="D482" s="52"/>
    </row>
    <row r="483">
      <c r="D483" s="52"/>
    </row>
    <row r="484">
      <c r="D484" s="52"/>
    </row>
    <row r="485">
      <c r="D485" s="52"/>
    </row>
    <row r="486">
      <c r="D486" s="52"/>
    </row>
    <row r="487">
      <c r="D487" s="52"/>
    </row>
    <row r="488">
      <c r="D488" s="52"/>
    </row>
    <row r="489">
      <c r="D489" s="52"/>
    </row>
    <row r="490">
      <c r="D490" s="52"/>
    </row>
    <row r="491">
      <c r="D491" s="52"/>
    </row>
    <row r="492">
      <c r="D492" s="52"/>
    </row>
    <row r="493">
      <c r="D493" s="52"/>
    </row>
    <row r="494">
      <c r="D494" s="52"/>
    </row>
    <row r="495">
      <c r="D495" s="52"/>
    </row>
    <row r="496">
      <c r="D496" s="52"/>
    </row>
    <row r="497">
      <c r="D497" s="52"/>
    </row>
    <row r="498">
      <c r="D498" s="52"/>
    </row>
    <row r="499">
      <c r="D499" s="52"/>
    </row>
    <row r="500">
      <c r="D500" s="52"/>
    </row>
    <row r="501">
      <c r="D501" s="52"/>
    </row>
    <row r="502">
      <c r="D502" s="52"/>
    </row>
    <row r="503">
      <c r="D503" s="52"/>
    </row>
    <row r="504">
      <c r="D504" s="52"/>
    </row>
    <row r="505">
      <c r="D505" s="52"/>
    </row>
    <row r="506">
      <c r="D506" s="52"/>
    </row>
    <row r="507">
      <c r="D507" s="52"/>
    </row>
    <row r="508">
      <c r="D508" s="52"/>
    </row>
    <row r="509">
      <c r="D509" s="52"/>
    </row>
    <row r="510">
      <c r="D510" s="52"/>
    </row>
    <row r="511">
      <c r="D511" s="52"/>
    </row>
    <row r="512">
      <c r="D512" s="52"/>
    </row>
    <row r="513">
      <c r="D513" s="52"/>
    </row>
    <row r="514">
      <c r="D514" s="52"/>
    </row>
    <row r="515">
      <c r="D515" s="52"/>
    </row>
    <row r="516">
      <c r="D516" s="52"/>
    </row>
    <row r="517">
      <c r="D517" s="52"/>
    </row>
    <row r="518">
      <c r="D518" s="52"/>
    </row>
    <row r="519">
      <c r="D519" s="52"/>
    </row>
    <row r="520">
      <c r="D520" s="52"/>
    </row>
    <row r="521">
      <c r="D521" s="52"/>
    </row>
    <row r="522">
      <c r="D522" s="52"/>
    </row>
    <row r="523">
      <c r="D523" s="52"/>
    </row>
    <row r="524">
      <c r="D524" s="52"/>
    </row>
    <row r="525">
      <c r="D525" s="52"/>
    </row>
    <row r="526">
      <c r="D526" s="52"/>
    </row>
    <row r="527">
      <c r="D527" s="52"/>
    </row>
    <row r="528">
      <c r="D528" s="52"/>
    </row>
    <row r="529">
      <c r="D529" s="52"/>
    </row>
    <row r="530">
      <c r="D530" s="52"/>
    </row>
    <row r="531">
      <c r="D531" s="52"/>
    </row>
    <row r="532">
      <c r="D532" s="52"/>
    </row>
    <row r="533">
      <c r="D533" s="52"/>
    </row>
    <row r="534">
      <c r="D534" s="52"/>
    </row>
    <row r="535">
      <c r="D535" s="52"/>
    </row>
    <row r="536">
      <c r="D536" s="52"/>
    </row>
    <row r="537">
      <c r="D537" s="52"/>
    </row>
    <row r="538">
      <c r="D538" s="52"/>
    </row>
    <row r="539">
      <c r="D539" s="52"/>
    </row>
    <row r="540">
      <c r="D540" s="52"/>
    </row>
    <row r="541">
      <c r="D541" s="52"/>
    </row>
    <row r="542">
      <c r="D542" s="52"/>
    </row>
    <row r="543">
      <c r="D543" s="52"/>
    </row>
    <row r="544">
      <c r="D544" s="52"/>
    </row>
    <row r="545">
      <c r="D545" s="52"/>
    </row>
    <row r="546">
      <c r="D546" s="52"/>
    </row>
    <row r="547">
      <c r="D547" s="52"/>
    </row>
    <row r="548">
      <c r="D548" s="52"/>
    </row>
    <row r="549">
      <c r="D549" s="52"/>
    </row>
    <row r="550">
      <c r="D550" s="52"/>
    </row>
    <row r="551">
      <c r="D551" s="52"/>
    </row>
    <row r="552">
      <c r="D552" s="52"/>
    </row>
    <row r="553">
      <c r="D553" s="52"/>
    </row>
    <row r="554">
      <c r="D554" s="52"/>
    </row>
    <row r="555">
      <c r="D555" s="52"/>
    </row>
    <row r="556">
      <c r="D556" s="52"/>
    </row>
    <row r="557">
      <c r="D557" s="52"/>
    </row>
    <row r="558">
      <c r="D558" s="52"/>
    </row>
    <row r="559">
      <c r="D559" s="52"/>
    </row>
    <row r="560">
      <c r="D560" s="52"/>
    </row>
    <row r="561">
      <c r="D561" s="52"/>
    </row>
    <row r="562">
      <c r="D562" s="52"/>
    </row>
    <row r="563">
      <c r="D563" s="52"/>
    </row>
    <row r="564">
      <c r="D564" s="52"/>
    </row>
    <row r="565">
      <c r="D565" s="52"/>
    </row>
    <row r="566">
      <c r="D566" s="52"/>
    </row>
    <row r="567">
      <c r="D567" s="52"/>
    </row>
    <row r="568">
      <c r="D568" s="52"/>
    </row>
    <row r="569">
      <c r="D569" s="52"/>
    </row>
    <row r="570">
      <c r="D570" s="52"/>
    </row>
    <row r="571">
      <c r="D571" s="52"/>
    </row>
    <row r="572">
      <c r="D572" s="52"/>
    </row>
    <row r="573">
      <c r="D573" s="52"/>
    </row>
    <row r="574">
      <c r="D574" s="52"/>
    </row>
    <row r="575">
      <c r="D575" s="52"/>
    </row>
    <row r="576">
      <c r="D576" s="52"/>
    </row>
    <row r="577">
      <c r="D577" s="52"/>
    </row>
    <row r="578">
      <c r="D578" s="52"/>
    </row>
    <row r="579">
      <c r="D579" s="52"/>
    </row>
    <row r="580">
      <c r="D580" s="52"/>
    </row>
    <row r="581">
      <c r="D581" s="52"/>
    </row>
    <row r="582">
      <c r="D582" s="52"/>
    </row>
    <row r="583">
      <c r="D583" s="52"/>
    </row>
    <row r="584">
      <c r="D584" s="52"/>
    </row>
    <row r="585">
      <c r="D585" s="52"/>
    </row>
    <row r="586">
      <c r="D586" s="52"/>
    </row>
    <row r="587">
      <c r="D587" s="52"/>
    </row>
    <row r="588">
      <c r="D588" s="52"/>
    </row>
    <row r="589">
      <c r="D589" s="52"/>
    </row>
    <row r="590">
      <c r="D590" s="52"/>
    </row>
    <row r="591">
      <c r="D591" s="52"/>
    </row>
    <row r="592">
      <c r="D592" s="52"/>
    </row>
    <row r="593">
      <c r="D593" s="52"/>
    </row>
    <row r="594">
      <c r="D594" s="52"/>
    </row>
    <row r="595">
      <c r="D595" s="52"/>
    </row>
    <row r="596">
      <c r="D596" s="52"/>
    </row>
    <row r="597">
      <c r="D597" s="52"/>
    </row>
    <row r="598">
      <c r="D598" s="52"/>
    </row>
    <row r="599">
      <c r="D599" s="52"/>
    </row>
    <row r="600">
      <c r="D600" s="52"/>
    </row>
    <row r="601">
      <c r="D601" s="52"/>
    </row>
    <row r="602">
      <c r="D602" s="52"/>
    </row>
    <row r="603">
      <c r="D603" s="52"/>
    </row>
    <row r="604">
      <c r="D604" s="52"/>
    </row>
    <row r="605">
      <c r="D605" s="52"/>
    </row>
    <row r="606">
      <c r="D606" s="52"/>
    </row>
    <row r="607">
      <c r="D607" s="52"/>
    </row>
    <row r="608">
      <c r="D608" s="52"/>
    </row>
    <row r="609">
      <c r="D609" s="52"/>
    </row>
    <row r="610">
      <c r="D610" s="52"/>
    </row>
    <row r="611">
      <c r="D611" s="52"/>
    </row>
    <row r="612">
      <c r="D612" s="52"/>
    </row>
    <row r="613">
      <c r="D613" s="52"/>
    </row>
    <row r="614">
      <c r="D614" s="52"/>
    </row>
    <row r="615">
      <c r="D615" s="52"/>
    </row>
    <row r="616">
      <c r="D616" s="52"/>
    </row>
    <row r="617">
      <c r="D617" s="52"/>
    </row>
    <row r="618">
      <c r="D618" s="52"/>
    </row>
    <row r="619">
      <c r="D619" s="52"/>
    </row>
    <row r="620">
      <c r="D620" s="52"/>
    </row>
    <row r="621">
      <c r="D621" s="52"/>
    </row>
    <row r="622">
      <c r="D622" s="52"/>
    </row>
    <row r="623">
      <c r="D623" s="52"/>
    </row>
    <row r="624">
      <c r="D624" s="52"/>
    </row>
    <row r="625">
      <c r="D625" s="52"/>
    </row>
    <row r="626">
      <c r="D626" s="52"/>
    </row>
    <row r="627">
      <c r="D627" s="52"/>
    </row>
    <row r="628">
      <c r="D628" s="52"/>
    </row>
    <row r="629">
      <c r="D629" s="52"/>
    </row>
    <row r="630">
      <c r="D630" s="52"/>
    </row>
    <row r="631">
      <c r="D631" s="52"/>
    </row>
    <row r="632">
      <c r="D632" s="52"/>
    </row>
    <row r="633">
      <c r="D633" s="52"/>
    </row>
    <row r="634">
      <c r="D634" s="52"/>
    </row>
    <row r="635">
      <c r="D635" s="52"/>
    </row>
    <row r="636">
      <c r="D636" s="52"/>
    </row>
    <row r="637">
      <c r="D637" s="52"/>
    </row>
    <row r="638">
      <c r="D638" s="52"/>
    </row>
    <row r="639">
      <c r="D639" s="52"/>
    </row>
    <row r="640">
      <c r="D640" s="52"/>
    </row>
    <row r="641">
      <c r="D641" s="52"/>
    </row>
    <row r="642">
      <c r="D642" s="52"/>
    </row>
    <row r="643">
      <c r="D643" s="52"/>
    </row>
    <row r="644">
      <c r="D644" s="52"/>
    </row>
    <row r="645">
      <c r="D645" s="52"/>
    </row>
    <row r="646">
      <c r="D646" s="52"/>
    </row>
    <row r="647">
      <c r="D647" s="52"/>
    </row>
    <row r="648">
      <c r="D648" s="52"/>
    </row>
    <row r="649">
      <c r="D649" s="52"/>
    </row>
    <row r="650">
      <c r="D650" s="52"/>
    </row>
    <row r="651">
      <c r="D651" s="52"/>
    </row>
    <row r="652">
      <c r="D652" s="52"/>
    </row>
    <row r="653">
      <c r="D653" s="52"/>
    </row>
    <row r="654">
      <c r="D654" s="52"/>
    </row>
    <row r="655">
      <c r="D655" s="52"/>
    </row>
    <row r="656">
      <c r="D656" s="52"/>
    </row>
    <row r="657">
      <c r="D657" s="52"/>
    </row>
    <row r="658">
      <c r="D658" s="52"/>
    </row>
    <row r="659">
      <c r="D659" s="52"/>
    </row>
    <row r="660">
      <c r="D660" s="52"/>
    </row>
    <row r="661">
      <c r="D661" s="52"/>
    </row>
    <row r="662">
      <c r="D662" s="52"/>
    </row>
    <row r="663">
      <c r="D663" s="52"/>
    </row>
    <row r="664">
      <c r="D664" s="52"/>
    </row>
    <row r="665">
      <c r="D665" s="52"/>
    </row>
    <row r="666">
      <c r="D666" s="52"/>
    </row>
    <row r="667">
      <c r="D667" s="52"/>
    </row>
    <row r="668">
      <c r="D668" s="52"/>
    </row>
    <row r="669">
      <c r="D669" s="52"/>
    </row>
    <row r="670">
      <c r="D670" s="52"/>
    </row>
    <row r="671">
      <c r="D671" s="52"/>
    </row>
    <row r="672">
      <c r="D672" s="52"/>
    </row>
    <row r="673">
      <c r="D673" s="52"/>
    </row>
    <row r="674">
      <c r="D674" s="52"/>
    </row>
    <row r="675">
      <c r="D675" s="52"/>
    </row>
    <row r="676">
      <c r="D676" s="52"/>
    </row>
    <row r="677">
      <c r="D677" s="52"/>
    </row>
    <row r="678">
      <c r="D678" s="52"/>
    </row>
    <row r="679">
      <c r="D679" s="52"/>
    </row>
    <row r="680">
      <c r="D680" s="52"/>
    </row>
    <row r="681">
      <c r="D681" s="52"/>
    </row>
    <row r="682">
      <c r="D682" s="52"/>
    </row>
    <row r="683">
      <c r="D683" s="52"/>
    </row>
    <row r="684">
      <c r="D684" s="52"/>
    </row>
    <row r="685">
      <c r="D685" s="52"/>
    </row>
    <row r="686">
      <c r="D686" s="52"/>
    </row>
    <row r="687">
      <c r="D687" s="52"/>
    </row>
    <row r="688">
      <c r="D688" s="52"/>
    </row>
    <row r="689">
      <c r="D689" s="52"/>
    </row>
    <row r="690">
      <c r="D690" s="52"/>
    </row>
    <row r="691">
      <c r="D691" s="52"/>
    </row>
    <row r="692">
      <c r="D692" s="52"/>
    </row>
    <row r="693">
      <c r="D693" s="52"/>
    </row>
    <row r="694">
      <c r="D694" s="52"/>
    </row>
    <row r="695">
      <c r="D695" s="52"/>
    </row>
    <row r="696">
      <c r="D696" s="52"/>
    </row>
    <row r="697">
      <c r="D697" s="52"/>
    </row>
    <row r="698">
      <c r="D698" s="52"/>
    </row>
    <row r="699">
      <c r="D699" s="52"/>
    </row>
    <row r="700">
      <c r="D700" s="52"/>
    </row>
    <row r="701">
      <c r="D701" s="52"/>
    </row>
    <row r="702">
      <c r="D702" s="52"/>
    </row>
    <row r="703">
      <c r="D703" s="52"/>
    </row>
    <row r="704">
      <c r="D704" s="52"/>
    </row>
    <row r="705">
      <c r="D705" s="52"/>
    </row>
    <row r="706">
      <c r="D706" s="52"/>
    </row>
    <row r="707">
      <c r="D707" s="52"/>
    </row>
    <row r="708">
      <c r="D708" s="52"/>
    </row>
    <row r="709">
      <c r="D709" s="52"/>
    </row>
    <row r="710">
      <c r="D710" s="52"/>
    </row>
    <row r="711">
      <c r="D711" s="52"/>
    </row>
    <row r="712">
      <c r="D712" s="52"/>
    </row>
    <row r="713">
      <c r="D713" s="52"/>
    </row>
    <row r="714">
      <c r="D714" s="52"/>
    </row>
    <row r="715">
      <c r="D715" s="52"/>
    </row>
    <row r="716">
      <c r="D716" s="52"/>
    </row>
    <row r="717">
      <c r="D717" s="52"/>
    </row>
    <row r="718">
      <c r="D718" s="52"/>
    </row>
    <row r="719">
      <c r="D719" s="52"/>
    </row>
    <row r="720">
      <c r="D720" s="52"/>
    </row>
    <row r="721">
      <c r="D721" s="52"/>
    </row>
    <row r="722">
      <c r="D722" s="52"/>
    </row>
    <row r="723">
      <c r="D723" s="52"/>
    </row>
    <row r="724">
      <c r="D724" s="52"/>
    </row>
    <row r="725">
      <c r="D725" s="52"/>
    </row>
    <row r="726">
      <c r="D726" s="52"/>
    </row>
    <row r="727">
      <c r="D727" s="52"/>
    </row>
    <row r="728">
      <c r="D728" s="52"/>
    </row>
    <row r="729">
      <c r="D729" s="52"/>
    </row>
    <row r="730">
      <c r="D730" s="52"/>
    </row>
    <row r="731">
      <c r="D731" s="52"/>
    </row>
    <row r="732">
      <c r="D732" s="52"/>
    </row>
    <row r="733">
      <c r="D733" s="52"/>
    </row>
    <row r="734">
      <c r="D734" s="52"/>
    </row>
    <row r="735">
      <c r="D735" s="52"/>
    </row>
    <row r="736">
      <c r="D736" s="52"/>
    </row>
    <row r="737">
      <c r="D737" s="52"/>
    </row>
    <row r="738">
      <c r="D738" s="52"/>
    </row>
    <row r="739">
      <c r="D739" s="52"/>
    </row>
    <row r="740">
      <c r="D740" s="52"/>
    </row>
    <row r="741">
      <c r="D741" s="52"/>
    </row>
    <row r="742">
      <c r="D742" s="52"/>
    </row>
    <row r="743">
      <c r="D743" s="52"/>
    </row>
    <row r="744">
      <c r="D744" s="52"/>
    </row>
    <row r="745">
      <c r="D745" s="52"/>
    </row>
    <row r="746">
      <c r="D746" s="52"/>
    </row>
    <row r="747">
      <c r="D747" s="52"/>
    </row>
    <row r="748">
      <c r="D748" s="52"/>
    </row>
    <row r="749">
      <c r="D749" s="52"/>
    </row>
    <row r="750">
      <c r="D750" s="52"/>
    </row>
    <row r="751">
      <c r="D751" s="52"/>
    </row>
    <row r="752">
      <c r="D752" s="52"/>
    </row>
    <row r="753">
      <c r="D753" s="52"/>
    </row>
    <row r="754">
      <c r="D754" s="52"/>
    </row>
    <row r="755">
      <c r="D755" s="52"/>
    </row>
    <row r="756">
      <c r="D756" s="52"/>
    </row>
    <row r="757">
      <c r="D757" s="52"/>
    </row>
    <row r="758">
      <c r="D758" s="52"/>
    </row>
    <row r="759">
      <c r="D759" s="52"/>
    </row>
    <row r="760">
      <c r="D760" s="52"/>
    </row>
    <row r="761">
      <c r="D761" s="52"/>
    </row>
    <row r="762">
      <c r="D762" s="52"/>
    </row>
    <row r="763">
      <c r="D763" s="52"/>
    </row>
    <row r="764">
      <c r="D764" s="52"/>
    </row>
    <row r="765">
      <c r="D765" s="52"/>
    </row>
    <row r="766">
      <c r="D766" s="52"/>
    </row>
    <row r="767">
      <c r="D767" s="52"/>
    </row>
    <row r="768">
      <c r="D768" s="52"/>
    </row>
    <row r="769">
      <c r="D769" s="52"/>
    </row>
    <row r="770">
      <c r="D770" s="52"/>
    </row>
    <row r="771">
      <c r="D771" s="52"/>
    </row>
    <row r="772">
      <c r="D772" s="52"/>
    </row>
    <row r="773">
      <c r="D773" s="52"/>
    </row>
    <row r="774">
      <c r="D774" s="52"/>
    </row>
    <row r="775">
      <c r="D775" s="52"/>
    </row>
    <row r="776">
      <c r="D776" s="52"/>
    </row>
    <row r="777">
      <c r="D777" s="52"/>
    </row>
    <row r="778">
      <c r="D778" s="52"/>
    </row>
    <row r="779">
      <c r="D779" s="52"/>
    </row>
    <row r="780">
      <c r="D780" s="52"/>
    </row>
    <row r="781">
      <c r="D781" s="52"/>
    </row>
    <row r="782">
      <c r="D782" s="52"/>
    </row>
    <row r="783">
      <c r="D783" s="52"/>
    </row>
    <row r="784">
      <c r="D784" s="52"/>
    </row>
    <row r="785">
      <c r="D785" s="52"/>
    </row>
    <row r="786">
      <c r="D786" s="52"/>
    </row>
    <row r="787">
      <c r="D787" s="52"/>
    </row>
    <row r="788">
      <c r="D788" s="52"/>
    </row>
    <row r="789">
      <c r="D789" s="52"/>
    </row>
    <row r="790">
      <c r="D790" s="52"/>
    </row>
    <row r="791">
      <c r="D791" s="52"/>
    </row>
    <row r="792">
      <c r="D792" s="52"/>
    </row>
    <row r="793">
      <c r="D793" s="52"/>
    </row>
    <row r="794">
      <c r="D794" s="52"/>
    </row>
    <row r="795">
      <c r="D795" s="52"/>
    </row>
    <row r="796">
      <c r="D796" s="52"/>
    </row>
    <row r="797">
      <c r="D797" s="52"/>
    </row>
    <row r="798">
      <c r="D798" s="52"/>
    </row>
    <row r="799">
      <c r="D799" s="52"/>
    </row>
    <row r="800">
      <c r="D800" s="52"/>
    </row>
    <row r="801">
      <c r="D801" s="52"/>
    </row>
    <row r="802">
      <c r="D802" s="52"/>
    </row>
    <row r="803">
      <c r="D803" s="52"/>
    </row>
    <row r="804">
      <c r="D804" s="52"/>
    </row>
    <row r="805">
      <c r="D805" s="52"/>
    </row>
    <row r="806">
      <c r="D806" s="52"/>
    </row>
    <row r="807">
      <c r="D807" s="52"/>
    </row>
    <row r="808">
      <c r="D808" s="52"/>
    </row>
    <row r="809">
      <c r="D809" s="52"/>
    </row>
    <row r="810">
      <c r="D810" s="52"/>
    </row>
    <row r="811">
      <c r="D811" s="52"/>
    </row>
    <row r="812">
      <c r="D812" s="52"/>
    </row>
    <row r="813">
      <c r="D813" s="52"/>
    </row>
    <row r="814">
      <c r="D814" s="52"/>
    </row>
    <row r="815">
      <c r="D815" s="52"/>
    </row>
    <row r="816">
      <c r="D816" s="52"/>
    </row>
    <row r="817">
      <c r="D817" s="52"/>
    </row>
    <row r="818">
      <c r="D818" s="52"/>
    </row>
    <row r="819">
      <c r="D819" s="52"/>
    </row>
    <row r="820">
      <c r="D820" s="52"/>
    </row>
    <row r="821">
      <c r="D821" s="52"/>
    </row>
    <row r="822">
      <c r="D822" s="52"/>
    </row>
    <row r="823">
      <c r="D823" s="52"/>
    </row>
    <row r="824">
      <c r="D824" s="52"/>
    </row>
    <row r="825">
      <c r="D825" s="52"/>
    </row>
    <row r="826">
      <c r="D826" s="52"/>
    </row>
    <row r="827">
      <c r="D827" s="52"/>
    </row>
    <row r="828">
      <c r="D828" s="52"/>
    </row>
    <row r="829">
      <c r="D829" s="52"/>
    </row>
    <row r="830">
      <c r="D830" s="52"/>
    </row>
    <row r="831">
      <c r="D831" s="52"/>
    </row>
    <row r="832">
      <c r="D832" s="52"/>
    </row>
    <row r="833">
      <c r="D833" s="52"/>
    </row>
    <row r="834">
      <c r="D834" s="52"/>
    </row>
    <row r="835">
      <c r="D835" s="52"/>
    </row>
    <row r="836">
      <c r="D836" s="52"/>
    </row>
    <row r="837">
      <c r="D837" s="52"/>
    </row>
    <row r="838">
      <c r="D838" s="52"/>
    </row>
    <row r="839">
      <c r="D839" s="52"/>
    </row>
    <row r="840">
      <c r="D840" s="52"/>
    </row>
    <row r="841">
      <c r="D841" s="52"/>
    </row>
    <row r="842">
      <c r="D842" s="52"/>
    </row>
    <row r="843">
      <c r="D843" s="52"/>
    </row>
    <row r="844">
      <c r="D844" s="52"/>
    </row>
    <row r="845">
      <c r="D845" s="52"/>
    </row>
    <row r="846">
      <c r="D846" s="52"/>
    </row>
    <row r="847">
      <c r="D847" s="52"/>
    </row>
    <row r="848">
      <c r="D848" s="52"/>
    </row>
    <row r="849">
      <c r="D849" s="52"/>
    </row>
    <row r="850">
      <c r="D850" s="52"/>
    </row>
    <row r="851">
      <c r="D851" s="52"/>
    </row>
    <row r="852">
      <c r="D852" s="52"/>
    </row>
    <row r="853">
      <c r="D853" s="52"/>
    </row>
    <row r="854">
      <c r="D854" s="52"/>
    </row>
    <row r="855">
      <c r="D855" s="52"/>
    </row>
    <row r="856">
      <c r="D856" s="52"/>
    </row>
    <row r="857">
      <c r="D857" s="52"/>
    </row>
    <row r="858">
      <c r="D858" s="52"/>
    </row>
    <row r="859">
      <c r="D859" s="52"/>
    </row>
    <row r="860">
      <c r="D860" s="52"/>
    </row>
    <row r="861">
      <c r="D861" s="52"/>
    </row>
    <row r="862">
      <c r="D862" s="52"/>
    </row>
    <row r="863">
      <c r="D863" s="52"/>
    </row>
    <row r="864">
      <c r="D864" s="52"/>
    </row>
    <row r="865">
      <c r="D865" s="52"/>
    </row>
    <row r="866">
      <c r="D866" s="52"/>
    </row>
    <row r="867">
      <c r="D867" s="52"/>
    </row>
    <row r="868">
      <c r="D868" s="52"/>
    </row>
    <row r="869">
      <c r="D869" s="52"/>
    </row>
    <row r="870">
      <c r="D870" s="52"/>
    </row>
    <row r="871">
      <c r="D871" s="52"/>
    </row>
    <row r="872">
      <c r="D872" s="52"/>
    </row>
    <row r="873">
      <c r="D873" s="52"/>
    </row>
    <row r="874">
      <c r="D874" s="52"/>
    </row>
    <row r="875">
      <c r="D875" s="52"/>
    </row>
    <row r="876">
      <c r="D876" s="52"/>
    </row>
    <row r="877">
      <c r="D877" s="52"/>
    </row>
    <row r="878">
      <c r="D878" s="52"/>
    </row>
    <row r="879">
      <c r="D879" s="52"/>
    </row>
    <row r="880">
      <c r="D880" s="52"/>
    </row>
    <row r="881">
      <c r="D881" s="52"/>
    </row>
    <row r="882">
      <c r="D882" s="52"/>
    </row>
    <row r="883">
      <c r="D883" s="52"/>
    </row>
    <row r="884">
      <c r="D884" s="52"/>
    </row>
    <row r="885">
      <c r="D885" s="52"/>
    </row>
    <row r="886">
      <c r="D886" s="52"/>
    </row>
    <row r="887">
      <c r="D887" s="52"/>
    </row>
    <row r="888">
      <c r="D888" s="52"/>
    </row>
    <row r="889">
      <c r="D889" s="52"/>
    </row>
    <row r="890">
      <c r="D890" s="52"/>
    </row>
    <row r="891">
      <c r="D891" s="52"/>
    </row>
    <row r="892">
      <c r="D892" s="52"/>
    </row>
    <row r="893">
      <c r="D893" s="52"/>
    </row>
    <row r="894">
      <c r="D894" s="52"/>
    </row>
    <row r="895">
      <c r="D895" s="52"/>
    </row>
    <row r="896">
      <c r="D896" s="52"/>
    </row>
    <row r="897">
      <c r="D897" s="52"/>
    </row>
    <row r="898">
      <c r="D898" s="52"/>
    </row>
    <row r="899">
      <c r="D899" s="52"/>
    </row>
    <row r="900">
      <c r="D900" s="52"/>
    </row>
    <row r="901">
      <c r="D901" s="52"/>
    </row>
    <row r="902">
      <c r="D902" s="52"/>
    </row>
    <row r="903">
      <c r="D903" s="52"/>
    </row>
    <row r="904">
      <c r="D904" s="52"/>
    </row>
    <row r="905">
      <c r="D905" s="52"/>
    </row>
    <row r="906">
      <c r="D906" s="52"/>
    </row>
    <row r="907">
      <c r="D907" s="52"/>
    </row>
    <row r="908">
      <c r="D908" s="52"/>
    </row>
    <row r="909">
      <c r="D909" s="52"/>
    </row>
    <row r="910">
      <c r="D910" s="52"/>
    </row>
    <row r="911">
      <c r="D911" s="52"/>
    </row>
    <row r="912">
      <c r="D912" s="52"/>
    </row>
    <row r="913">
      <c r="D913" s="52"/>
    </row>
    <row r="914">
      <c r="D914" s="52"/>
    </row>
    <row r="915">
      <c r="D915" s="52"/>
    </row>
    <row r="916">
      <c r="D916" s="52"/>
    </row>
    <row r="917">
      <c r="D917" s="52"/>
    </row>
    <row r="918">
      <c r="D918" s="52"/>
    </row>
    <row r="919">
      <c r="D919" s="52"/>
    </row>
    <row r="920">
      <c r="D920" s="52"/>
    </row>
    <row r="921">
      <c r="D921" s="52"/>
    </row>
    <row r="922">
      <c r="D922" s="52"/>
    </row>
    <row r="923">
      <c r="D923" s="52"/>
    </row>
    <row r="924">
      <c r="D924" s="52"/>
    </row>
    <row r="925">
      <c r="D925" s="52"/>
    </row>
    <row r="926">
      <c r="D926" s="52"/>
    </row>
    <row r="927">
      <c r="D927" s="52"/>
    </row>
    <row r="928">
      <c r="D928" s="52"/>
    </row>
    <row r="929">
      <c r="D929" s="52"/>
    </row>
    <row r="930">
      <c r="D930" s="52"/>
    </row>
    <row r="931">
      <c r="D931" s="52"/>
    </row>
    <row r="932">
      <c r="D932" s="52"/>
    </row>
    <row r="933">
      <c r="D933" s="52"/>
    </row>
    <row r="934">
      <c r="D934" s="52"/>
    </row>
    <row r="935">
      <c r="D935" s="52"/>
    </row>
    <row r="936">
      <c r="D936" s="52"/>
    </row>
    <row r="937">
      <c r="D937" s="52"/>
    </row>
    <row r="938">
      <c r="D938" s="52"/>
    </row>
    <row r="939">
      <c r="D939" s="52"/>
    </row>
    <row r="940">
      <c r="D940" s="52"/>
    </row>
    <row r="941">
      <c r="D941" s="52"/>
    </row>
    <row r="942">
      <c r="D942" s="52"/>
    </row>
    <row r="943">
      <c r="D943" s="52"/>
    </row>
    <row r="944">
      <c r="D944" s="52"/>
    </row>
    <row r="945">
      <c r="D945" s="52"/>
    </row>
    <row r="946">
      <c r="D946" s="52"/>
    </row>
    <row r="947">
      <c r="D947" s="52"/>
    </row>
    <row r="948">
      <c r="D948" s="52"/>
    </row>
    <row r="949">
      <c r="D949" s="52"/>
    </row>
    <row r="950">
      <c r="D950" s="52"/>
    </row>
    <row r="951">
      <c r="D951" s="52"/>
    </row>
    <row r="952">
      <c r="D952" s="52"/>
    </row>
    <row r="953">
      <c r="D953" s="52"/>
    </row>
    <row r="954">
      <c r="D954" s="52"/>
    </row>
    <row r="955">
      <c r="D955" s="52"/>
    </row>
    <row r="956">
      <c r="D956" s="52"/>
    </row>
    <row r="957">
      <c r="D957" s="52"/>
    </row>
    <row r="958">
      <c r="D958" s="52"/>
    </row>
    <row r="959">
      <c r="D959" s="52"/>
    </row>
    <row r="960">
      <c r="D960" s="52"/>
    </row>
    <row r="961">
      <c r="D961" s="52"/>
    </row>
    <row r="962">
      <c r="D962" s="52"/>
    </row>
    <row r="963">
      <c r="D963" s="52"/>
    </row>
    <row r="964">
      <c r="D964" s="52"/>
    </row>
    <row r="965">
      <c r="D965" s="52"/>
    </row>
    <row r="966">
      <c r="D966" s="52"/>
    </row>
    <row r="967">
      <c r="D967" s="52"/>
    </row>
    <row r="968">
      <c r="D968" s="52"/>
    </row>
    <row r="969">
      <c r="D969" s="52"/>
    </row>
    <row r="970">
      <c r="D970" s="52"/>
    </row>
    <row r="971">
      <c r="D971" s="52"/>
    </row>
    <row r="972">
      <c r="D972" s="52"/>
    </row>
    <row r="973">
      <c r="D973" s="52"/>
    </row>
    <row r="974">
      <c r="D974" s="52"/>
    </row>
    <row r="975">
      <c r="D975" s="52"/>
    </row>
    <row r="976">
      <c r="D976" s="52"/>
    </row>
    <row r="977">
      <c r="D977" s="52"/>
    </row>
    <row r="978">
      <c r="D978" s="52"/>
    </row>
    <row r="979">
      <c r="D979" s="52"/>
    </row>
    <row r="980">
      <c r="D980" s="52"/>
    </row>
    <row r="981">
      <c r="D981" s="52"/>
    </row>
    <row r="982">
      <c r="D982" s="52"/>
    </row>
    <row r="983">
      <c r="D983" s="52"/>
    </row>
    <row r="984">
      <c r="D984" s="52"/>
    </row>
    <row r="985">
      <c r="D985" s="52"/>
    </row>
    <row r="986">
      <c r="D986" s="52"/>
    </row>
    <row r="987">
      <c r="D987" s="52"/>
    </row>
    <row r="988">
      <c r="D988" s="52"/>
    </row>
    <row r="989">
      <c r="D989" s="52"/>
    </row>
    <row r="990">
      <c r="D990" s="52"/>
    </row>
    <row r="991">
      <c r="D991" s="52"/>
    </row>
    <row r="992">
      <c r="D992" s="52"/>
    </row>
    <row r="993">
      <c r="D993" s="52"/>
    </row>
    <row r="994">
      <c r="D994" s="52"/>
    </row>
    <row r="995">
      <c r="D995" s="52"/>
    </row>
    <row r="996">
      <c r="D996" s="52"/>
    </row>
    <row r="997">
      <c r="D997" s="52"/>
    </row>
    <row r="998">
      <c r="D998" s="52"/>
    </row>
    <row r="999">
      <c r="D999" s="52"/>
    </row>
    <row r="1000">
      <c r="D1000" s="52"/>
    </row>
    <row r="1001">
      <c r="D1001" s="52"/>
    </row>
    <row r="1002">
      <c r="D1002" s="52"/>
    </row>
    <row r="1003">
      <c r="D1003" s="52"/>
    </row>
    <row r="1004">
      <c r="D1004" s="52"/>
    </row>
    <row r="1005">
      <c r="D1005" s="52"/>
    </row>
    <row r="1006">
      <c r="D1006" s="52"/>
    </row>
    <row r="1007">
      <c r="D1007" s="52"/>
    </row>
    <row r="1008">
      <c r="D1008" s="52"/>
    </row>
    <row r="1009">
      <c r="D1009" s="52"/>
    </row>
    <row r="1010">
      <c r="D1010" s="52"/>
    </row>
    <row r="1011">
      <c r="D1011" s="52"/>
    </row>
    <row r="1012">
      <c r="D1012" s="52"/>
    </row>
    <row r="1013">
      <c r="D1013" s="52"/>
    </row>
    <row r="1014">
      <c r="D1014" s="52"/>
    </row>
    <row r="1015">
      <c r="D1015" s="52"/>
    </row>
    <row r="1016">
      <c r="D1016" s="52"/>
    </row>
    <row r="1017">
      <c r="D1017" s="52"/>
    </row>
    <row r="1018">
      <c r="D1018" s="52"/>
    </row>
    <row r="1019">
      <c r="D1019" s="52"/>
    </row>
    <row r="1020">
      <c r="D1020" s="52"/>
    </row>
    <row r="1021">
      <c r="D1021" s="52"/>
    </row>
    <row r="1022">
      <c r="D1022" s="52"/>
    </row>
    <row r="1023">
      <c r="D1023" s="52"/>
    </row>
    <row r="1024">
      <c r="D1024" s="52"/>
    </row>
    <row r="1025">
      <c r="D1025" s="52"/>
    </row>
    <row r="1026">
      <c r="D1026" s="52"/>
    </row>
    <row r="1027">
      <c r="D1027" s="52"/>
    </row>
    <row r="1028">
      <c r="D1028" s="52"/>
    </row>
    <row r="1029">
      <c r="D1029" s="52"/>
    </row>
    <row r="1030">
      <c r="D1030" s="52"/>
    </row>
  </sheetData>
  <dataValidations>
    <dataValidation type="list" allowBlank="1" sqref="F2:F49">
      <formula1>"Data Model,Dataset"</formula1>
    </dataValidation>
  </dataValidations>
  <hyperlinks>
    <hyperlink r:id="rId1" ref="G2"/>
    <hyperlink r:id="rId2" location=":~:text=The%20XBRL%20standard%20is%20free%2C,a%20standard%20and%20here%E2%80%99s%20why" ref="H2"/>
    <hyperlink r:id="rId3" ref="H3"/>
    <hyperlink r:id="rId4" ref="H4"/>
    <hyperlink r:id="rId5" ref="H5"/>
    <hyperlink r:id="rId6" ref="H6"/>
    <hyperlink r:id="rId7" ref="H7"/>
    <hyperlink r:id="rId8" location=":~:text=The%20Observational%20Medical%20Outcomes%20Partnership,that%20can%20produce%20reliable%20evidence." ref="H8"/>
    <hyperlink r:id="rId9" ref="H9"/>
    <hyperlink r:id="rId10" ref="G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2"/>
    <hyperlink r:id="rId23" ref="H23"/>
    <hyperlink r:id="rId24" ref="H24"/>
    <hyperlink r:id="rId25" ref="H26"/>
    <hyperlink r:id="rId26" location=":~:text=B2MML%20is%20an%20XML%20implementation,95%20standard" ref="H27"/>
    <hyperlink r:id="rId27" ref="H28"/>
    <hyperlink r:id="rId28" ref="H29"/>
    <hyperlink r:id="rId29" ref="H30"/>
    <hyperlink r:id="rId30" ref="H31"/>
    <hyperlink r:id="rId31" ref="H32"/>
    <hyperlink r:id="rId32" location=":~:text=and%20Regional%20Investment%20Plans%20demand,codes%E2%80%99%20common%20grid%20models%20exchanges" ref="H33"/>
    <hyperlink r:id="rId33" ref="H34"/>
    <hyperlink r:id="rId34" ref="H35"/>
    <hyperlink r:id="rId35" ref="H36"/>
    <hyperlink r:id="rId36" ref="H37"/>
    <hyperlink r:id="rId37" ref="H38"/>
    <hyperlink r:id="rId38" ref="H39"/>
    <hyperlink r:id="rId39" ref="H40"/>
    <hyperlink r:id="rId40" ref="H42"/>
    <hyperlink r:id="rId41" ref="H43"/>
    <hyperlink r:id="rId42" ref="H44"/>
    <hyperlink r:id="rId43" ref="H45"/>
    <hyperlink r:id="rId44" ref="H48"/>
  </hyperlinks>
  <drawing r:id="rId45"/>
  <tableParts count="1">
    <tablePart r:id="rId4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3.88"/>
    <col customWidth="1" min="3" max="3" width="33.75"/>
    <col customWidth="1" min="4" max="4" width="20.13"/>
    <col customWidth="1" min="5" max="5" width="20.88"/>
    <col customWidth="1" min="6" max="6" width="15.88"/>
    <col customWidth="1" min="7" max="7" width="16.63"/>
    <col customWidth="1" min="8" max="8" width="9.75"/>
  </cols>
  <sheetData>
    <row r="1">
      <c r="A1" s="53" t="s">
        <v>246</v>
      </c>
    </row>
    <row r="2">
      <c r="A2" s="54" t="s">
        <v>247</v>
      </c>
      <c r="B2" s="54" t="s">
        <v>248</v>
      </c>
      <c r="C2" s="54" t="s">
        <v>6</v>
      </c>
      <c r="D2" s="54" t="s">
        <v>249</v>
      </c>
      <c r="E2" s="54" t="s">
        <v>250</v>
      </c>
    </row>
    <row r="3">
      <c r="A3" s="55" t="s">
        <v>251</v>
      </c>
      <c r="B3" s="56" t="s">
        <v>252</v>
      </c>
      <c r="C3" s="56" t="s">
        <v>253</v>
      </c>
      <c r="D3" s="57" t="s">
        <v>254</v>
      </c>
      <c r="E3" s="57" t="s">
        <v>255</v>
      </c>
    </row>
    <row r="4">
      <c r="A4" s="55" t="s">
        <v>256</v>
      </c>
      <c r="B4" s="58"/>
      <c r="C4" s="56" t="s">
        <v>25</v>
      </c>
      <c r="D4" s="57" t="s">
        <v>254</v>
      </c>
      <c r="E4" s="57" t="s">
        <v>254</v>
      </c>
    </row>
    <row r="5">
      <c r="A5" s="55" t="s">
        <v>164</v>
      </c>
      <c r="B5" s="58"/>
      <c r="C5" s="56" t="s">
        <v>25</v>
      </c>
      <c r="D5" s="57" t="s">
        <v>254</v>
      </c>
      <c r="E5" s="57" t="s">
        <v>254</v>
      </c>
    </row>
    <row r="6">
      <c r="A6" s="55" t="s">
        <v>64</v>
      </c>
      <c r="B6" s="58"/>
      <c r="C6" s="56" t="s">
        <v>25</v>
      </c>
      <c r="D6" s="57" t="s">
        <v>254</v>
      </c>
      <c r="E6" s="57" t="s">
        <v>254</v>
      </c>
    </row>
    <row r="7">
      <c r="A7" s="55" t="s">
        <v>257</v>
      </c>
      <c r="B7" s="58"/>
      <c r="C7" s="56" t="s">
        <v>25</v>
      </c>
      <c r="D7" s="57" t="s">
        <v>254</v>
      </c>
      <c r="E7" s="57" t="s">
        <v>254</v>
      </c>
    </row>
    <row r="8">
      <c r="A8" s="55" t="s">
        <v>258</v>
      </c>
      <c r="B8" s="58"/>
      <c r="C8" s="56" t="s">
        <v>25</v>
      </c>
      <c r="D8" s="57" t="s">
        <v>254</v>
      </c>
      <c r="E8" s="57" t="s">
        <v>254</v>
      </c>
    </row>
    <row r="9">
      <c r="A9" s="55" t="s">
        <v>259</v>
      </c>
      <c r="B9" s="58"/>
      <c r="C9" s="56" t="s">
        <v>25</v>
      </c>
      <c r="D9" s="57" t="s">
        <v>254</v>
      </c>
      <c r="E9" s="57" t="s">
        <v>254</v>
      </c>
    </row>
    <row r="10">
      <c r="A10" s="55" t="s">
        <v>260</v>
      </c>
      <c r="B10" s="58"/>
      <c r="C10" s="56" t="s">
        <v>25</v>
      </c>
      <c r="D10" s="57" t="s">
        <v>254</v>
      </c>
      <c r="E10" s="57" t="s">
        <v>254</v>
      </c>
    </row>
    <row r="11">
      <c r="A11" s="55" t="s">
        <v>261</v>
      </c>
      <c r="B11" s="58"/>
      <c r="C11" s="56" t="s">
        <v>25</v>
      </c>
      <c r="D11" s="57" t="s">
        <v>254</v>
      </c>
      <c r="E11" s="57" t="s">
        <v>254</v>
      </c>
    </row>
    <row r="12">
      <c r="A12" s="55" t="s">
        <v>262</v>
      </c>
      <c r="B12" s="58"/>
      <c r="C12" s="56" t="s">
        <v>25</v>
      </c>
      <c r="D12" s="57" t="s">
        <v>254</v>
      </c>
      <c r="E12" s="57" t="s">
        <v>254</v>
      </c>
    </row>
    <row r="13">
      <c r="A13" s="55" t="s">
        <v>263</v>
      </c>
      <c r="B13" s="58"/>
      <c r="C13" s="56" t="s">
        <v>25</v>
      </c>
      <c r="D13" s="57" t="s">
        <v>254</v>
      </c>
      <c r="E13" s="57" t="s">
        <v>254</v>
      </c>
    </row>
    <row r="14" ht="15.0" customHeight="1">
      <c r="A14" s="55" t="s">
        <v>113</v>
      </c>
      <c r="B14" s="58"/>
      <c r="C14" s="56" t="s">
        <v>25</v>
      </c>
      <c r="D14" s="57" t="s">
        <v>254</v>
      </c>
      <c r="E14" s="57" t="s">
        <v>254</v>
      </c>
    </row>
    <row r="15" ht="15.0" customHeight="1">
      <c r="A15" s="55" t="s">
        <v>264</v>
      </c>
      <c r="B15" s="56" t="s">
        <v>265</v>
      </c>
      <c r="C15" s="56" t="s">
        <v>14</v>
      </c>
      <c r="D15" s="57" t="s">
        <v>88</v>
      </c>
      <c r="E15" s="57" t="s">
        <v>254</v>
      </c>
    </row>
    <row r="16" ht="15.0" customHeight="1">
      <c r="A16" s="55" t="s">
        <v>266</v>
      </c>
      <c r="B16" s="58"/>
      <c r="C16" s="56" t="s">
        <v>25</v>
      </c>
      <c r="D16" s="57" t="s">
        <v>254</v>
      </c>
      <c r="E16" s="57" t="s">
        <v>254</v>
      </c>
    </row>
    <row r="17" ht="15.0" customHeight="1">
      <c r="A17" s="55" t="s">
        <v>267</v>
      </c>
      <c r="B17" s="58"/>
      <c r="C17" s="56" t="s">
        <v>25</v>
      </c>
      <c r="D17" s="57" t="s">
        <v>254</v>
      </c>
      <c r="E17" s="57" t="s">
        <v>254</v>
      </c>
    </row>
    <row r="18">
      <c r="A18" s="55" t="s">
        <v>268</v>
      </c>
      <c r="B18" s="56" t="s">
        <v>269</v>
      </c>
      <c r="C18" s="56" t="s">
        <v>25</v>
      </c>
      <c r="D18" s="57" t="s">
        <v>254</v>
      </c>
      <c r="E18" s="57" t="s">
        <v>254</v>
      </c>
    </row>
    <row r="19">
      <c r="A19" s="55" t="s">
        <v>197</v>
      </c>
      <c r="B19" s="58"/>
      <c r="C19" s="56" t="s">
        <v>25</v>
      </c>
      <c r="D19" s="57" t="s">
        <v>254</v>
      </c>
      <c r="E19" s="57" t="s">
        <v>254</v>
      </c>
    </row>
    <row r="20">
      <c r="A20" s="55" t="s">
        <v>270</v>
      </c>
      <c r="B20" s="58"/>
      <c r="C20" s="56" t="s">
        <v>25</v>
      </c>
      <c r="D20" s="57" t="s">
        <v>254</v>
      </c>
      <c r="E20" s="57" t="s">
        <v>254</v>
      </c>
    </row>
    <row r="21">
      <c r="A21" s="55" t="s">
        <v>271</v>
      </c>
      <c r="B21" s="58"/>
      <c r="C21" s="56" t="s">
        <v>25</v>
      </c>
      <c r="D21" s="57" t="s">
        <v>254</v>
      </c>
      <c r="E21" s="57" t="s">
        <v>254</v>
      </c>
    </row>
    <row r="22">
      <c r="A22" s="55" t="s">
        <v>272</v>
      </c>
      <c r="B22" s="58"/>
      <c r="C22" s="56" t="s">
        <v>25</v>
      </c>
      <c r="D22" s="57" t="s">
        <v>254</v>
      </c>
      <c r="E22" s="57" t="s">
        <v>254</v>
      </c>
    </row>
    <row r="23">
      <c r="A23" s="55" t="s">
        <v>273</v>
      </c>
      <c r="B23" s="58"/>
      <c r="C23" s="56" t="s">
        <v>25</v>
      </c>
      <c r="D23" s="57" t="s">
        <v>254</v>
      </c>
      <c r="E23" s="57" t="s">
        <v>254</v>
      </c>
    </row>
    <row r="24">
      <c r="A24" s="55" t="s">
        <v>274</v>
      </c>
      <c r="B24" s="58"/>
      <c r="C24" s="56" t="s">
        <v>25</v>
      </c>
      <c r="D24" s="57" t="s">
        <v>254</v>
      </c>
      <c r="E24" s="57" t="s">
        <v>254</v>
      </c>
    </row>
    <row r="25">
      <c r="A25" s="55" t="s">
        <v>156</v>
      </c>
      <c r="B25" s="58"/>
      <c r="C25" s="56" t="s">
        <v>25</v>
      </c>
      <c r="D25" s="57" t="s">
        <v>254</v>
      </c>
      <c r="E25" s="57" t="s">
        <v>254</v>
      </c>
    </row>
    <row r="26">
      <c r="A26" s="55" t="s">
        <v>275</v>
      </c>
      <c r="B26" s="58"/>
      <c r="C26" s="56" t="s">
        <v>25</v>
      </c>
      <c r="D26" s="57" t="s">
        <v>254</v>
      </c>
      <c r="E26" s="57" t="s">
        <v>254</v>
      </c>
    </row>
    <row r="27">
      <c r="A27" s="55" t="s">
        <v>276</v>
      </c>
      <c r="B27" s="56" t="s">
        <v>277</v>
      </c>
      <c r="C27" s="56" t="s">
        <v>253</v>
      </c>
      <c r="D27" s="57" t="s">
        <v>254</v>
      </c>
      <c r="E27" s="57" t="s">
        <v>254</v>
      </c>
    </row>
    <row r="28">
      <c r="A28" s="55" t="s">
        <v>278</v>
      </c>
      <c r="B28" s="58"/>
      <c r="C28" s="56" t="s">
        <v>25</v>
      </c>
      <c r="D28" s="57" t="s">
        <v>254</v>
      </c>
      <c r="E28" s="57" t="s">
        <v>254</v>
      </c>
    </row>
    <row r="29">
      <c r="A29" s="55" t="s">
        <v>279</v>
      </c>
      <c r="B29" s="58"/>
      <c r="C29" s="56" t="s">
        <v>25</v>
      </c>
      <c r="D29" s="57" t="s">
        <v>254</v>
      </c>
      <c r="E29" s="57" t="s">
        <v>254</v>
      </c>
    </row>
    <row r="30">
      <c r="A30" s="55" t="s">
        <v>280</v>
      </c>
      <c r="B30" s="56" t="s">
        <v>281</v>
      </c>
      <c r="C30" s="56" t="s">
        <v>282</v>
      </c>
      <c r="D30" s="57" t="s">
        <v>254</v>
      </c>
      <c r="E30" s="57" t="s">
        <v>254</v>
      </c>
    </row>
    <row r="33">
      <c r="A33" s="53" t="s">
        <v>283</v>
      </c>
    </row>
    <row r="34">
      <c r="A34" s="59" t="s">
        <v>284</v>
      </c>
      <c r="B34" s="60" t="s">
        <v>285</v>
      </c>
      <c r="C34" s="60" t="s">
        <v>286</v>
      </c>
      <c r="D34" s="54" t="s">
        <v>287</v>
      </c>
      <c r="E34" s="61" t="s">
        <v>288</v>
      </c>
    </row>
    <row r="35">
      <c r="A35" s="62" t="s">
        <v>289</v>
      </c>
      <c r="B35" s="63" t="s">
        <v>290</v>
      </c>
      <c r="C35" s="63" t="s">
        <v>291</v>
      </c>
      <c r="D35" s="56" t="s">
        <v>259</v>
      </c>
      <c r="E35" s="64" t="s">
        <v>292</v>
      </c>
    </row>
    <row r="36">
      <c r="A36" s="65"/>
      <c r="B36" s="63" t="s">
        <v>293</v>
      </c>
      <c r="C36" s="63" t="s">
        <v>291</v>
      </c>
      <c r="D36" s="56" t="s">
        <v>259</v>
      </c>
      <c r="E36" s="64" t="s">
        <v>294</v>
      </c>
    </row>
    <row r="37">
      <c r="A37" s="65"/>
      <c r="B37" s="63" t="s">
        <v>295</v>
      </c>
      <c r="C37" s="63" t="s">
        <v>291</v>
      </c>
      <c r="D37" s="56" t="s">
        <v>113</v>
      </c>
      <c r="E37" s="64" t="s">
        <v>296</v>
      </c>
    </row>
    <row r="38">
      <c r="A38" s="65"/>
      <c r="B38" s="63" t="s">
        <v>297</v>
      </c>
      <c r="C38" s="63" t="s">
        <v>291</v>
      </c>
      <c r="D38" s="56" t="s">
        <v>279</v>
      </c>
      <c r="E38" s="64" t="s">
        <v>298</v>
      </c>
    </row>
    <row r="39">
      <c r="A39" s="65"/>
      <c r="B39" s="63" t="s">
        <v>299</v>
      </c>
      <c r="C39" s="63" t="s">
        <v>291</v>
      </c>
      <c r="D39" s="56" t="s">
        <v>156</v>
      </c>
      <c r="E39" s="64" t="s">
        <v>300</v>
      </c>
    </row>
    <row r="40">
      <c r="A40" s="66"/>
      <c r="B40" s="63" t="s">
        <v>301</v>
      </c>
      <c r="C40" s="63" t="s">
        <v>291</v>
      </c>
      <c r="D40" s="56" t="s">
        <v>276</v>
      </c>
      <c r="E40" s="64" t="s">
        <v>302</v>
      </c>
    </row>
    <row r="41">
      <c r="A41" s="62" t="s">
        <v>303</v>
      </c>
      <c r="B41" s="63" t="s">
        <v>304</v>
      </c>
      <c r="C41" s="63" t="s">
        <v>305</v>
      </c>
      <c r="D41" s="56" t="s">
        <v>276</v>
      </c>
      <c r="E41" s="64" t="s">
        <v>306</v>
      </c>
    </row>
    <row r="42">
      <c r="A42" s="65"/>
      <c r="B42" s="63" t="s">
        <v>307</v>
      </c>
      <c r="C42" s="63" t="s">
        <v>305</v>
      </c>
      <c r="D42" s="56" t="s">
        <v>156</v>
      </c>
      <c r="E42" s="64" t="s">
        <v>308</v>
      </c>
    </row>
    <row r="43">
      <c r="A43" s="65"/>
      <c r="B43" s="63" t="s">
        <v>309</v>
      </c>
      <c r="C43" s="63" t="s">
        <v>310</v>
      </c>
      <c r="D43" s="56" t="s">
        <v>259</v>
      </c>
      <c r="E43" s="64" t="s">
        <v>311</v>
      </c>
    </row>
    <row r="44">
      <c r="A44" s="66"/>
      <c r="B44" s="63" t="s">
        <v>312</v>
      </c>
      <c r="C44" s="63" t="s">
        <v>305</v>
      </c>
      <c r="D44" s="56" t="s">
        <v>279</v>
      </c>
      <c r="E44" s="64" t="s">
        <v>313</v>
      </c>
    </row>
    <row r="45">
      <c r="A45" s="62" t="s">
        <v>314</v>
      </c>
      <c r="B45" s="63" t="s">
        <v>315</v>
      </c>
      <c r="C45" s="63" t="s">
        <v>316</v>
      </c>
      <c r="D45" s="56" t="s">
        <v>317</v>
      </c>
      <c r="E45" s="64" t="s">
        <v>318</v>
      </c>
    </row>
    <row r="46">
      <c r="A46" s="66"/>
      <c r="B46" s="63" t="s">
        <v>319</v>
      </c>
      <c r="C46" s="63" t="s">
        <v>320</v>
      </c>
      <c r="D46" s="56" t="s">
        <v>259</v>
      </c>
      <c r="E46" s="64" t="s">
        <v>321</v>
      </c>
    </row>
    <row r="47">
      <c r="A47" s="62" t="s">
        <v>154</v>
      </c>
      <c r="B47" s="63" t="s">
        <v>322</v>
      </c>
      <c r="C47" s="63" t="s">
        <v>323</v>
      </c>
      <c r="D47" s="56" t="s">
        <v>276</v>
      </c>
      <c r="E47" s="64" t="s">
        <v>324</v>
      </c>
    </row>
    <row r="48">
      <c r="A48" s="65"/>
      <c r="B48" s="63" t="s">
        <v>325</v>
      </c>
      <c r="C48" s="63" t="s">
        <v>323</v>
      </c>
      <c r="D48" s="56" t="s">
        <v>259</v>
      </c>
      <c r="E48" s="64" t="s">
        <v>326</v>
      </c>
    </row>
    <row r="49">
      <c r="A49" s="65"/>
      <c r="B49" s="63" t="s">
        <v>327</v>
      </c>
      <c r="C49" s="63" t="s">
        <v>323</v>
      </c>
      <c r="D49" s="56" t="s">
        <v>156</v>
      </c>
      <c r="E49" s="64" t="s">
        <v>328</v>
      </c>
    </row>
    <row r="50">
      <c r="A50" s="65"/>
      <c r="B50" s="63" t="s">
        <v>329</v>
      </c>
      <c r="C50" s="63" t="s">
        <v>323</v>
      </c>
      <c r="D50" s="56" t="s">
        <v>113</v>
      </c>
      <c r="E50" s="64" t="s">
        <v>330</v>
      </c>
    </row>
    <row r="51">
      <c r="A51" s="65"/>
      <c r="B51" s="63" t="s">
        <v>331</v>
      </c>
      <c r="C51" s="63" t="s">
        <v>323</v>
      </c>
      <c r="D51" s="56" t="s">
        <v>268</v>
      </c>
      <c r="E51" s="64" t="s">
        <v>332</v>
      </c>
    </row>
    <row r="52">
      <c r="A52" s="65"/>
      <c r="B52" s="63" t="s">
        <v>333</v>
      </c>
      <c r="C52" s="63" t="s">
        <v>323</v>
      </c>
      <c r="D52" s="56" t="s">
        <v>317</v>
      </c>
      <c r="E52" s="64" t="s">
        <v>334</v>
      </c>
    </row>
    <row r="53">
      <c r="A53" s="66"/>
      <c r="B53" s="63" t="s">
        <v>335</v>
      </c>
      <c r="C53" s="63" t="s">
        <v>323</v>
      </c>
      <c r="D53" s="56" t="s">
        <v>279</v>
      </c>
      <c r="E53" s="64" t="s">
        <v>336</v>
      </c>
    </row>
    <row r="54">
      <c r="A54" s="59" t="s">
        <v>337</v>
      </c>
      <c r="B54" s="63" t="s">
        <v>338</v>
      </c>
      <c r="C54" s="63" t="s">
        <v>339</v>
      </c>
      <c r="D54" s="56" t="s">
        <v>317</v>
      </c>
      <c r="E54" s="64" t="s">
        <v>340</v>
      </c>
    </row>
    <row r="55">
      <c r="A55" s="62" t="s">
        <v>341</v>
      </c>
      <c r="B55" s="63" t="s">
        <v>342</v>
      </c>
      <c r="C55" s="63" t="s">
        <v>343</v>
      </c>
      <c r="D55" s="56" t="s">
        <v>259</v>
      </c>
      <c r="E55" s="64" t="s">
        <v>344</v>
      </c>
    </row>
    <row r="56">
      <c r="A56" s="65"/>
      <c r="B56" s="63" t="s">
        <v>345</v>
      </c>
      <c r="C56" s="63" t="s">
        <v>343</v>
      </c>
      <c r="D56" s="56" t="s">
        <v>259</v>
      </c>
      <c r="E56" s="64" t="s">
        <v>346</v>
      </c>
    </row>
    <row r="57">
      <c r="A57" s="66"/>
      <c r="B57" s="63" t="s">
        <v>347</v>
      </c>
      <c r="C57" s="63" t="s">
        <v>343</v>
      </c>
      <c r="D57" s="56" t="s">
        <v>156</v>
      </c>
      <c r="E57" s="64" t="s">
        <v>348</v>
      </c>
    </row>
    <row r="58">
      <c r="A58" s="62" t="s">
        <v>349</v>
      </c>
      <c r="B58" s="63" t="s">
        <v>350</v>
      </c>
      <c r="C58" s="63" t="s">
        <v>351</v>
      </c>
      <c r="D58" s="56" t="s">
        <v>259</v>
      </c>
      <c r="E58" s="64" t="s">
        <v>352</v>
      </c>
    </row>
    <row r="59">
      <c r="A59" s="65"/>
      <c r="B59" s="63" t="s">
        <v>353</v>
      </c>
      <c r="C59" s="63" t="s">
        <v>354</v>
      </c>
      <c r="D59" s="56" t="s">
        <v>113</v>
      </c>
      <c r="E59" s="64" t="s">
        <v>355</v>
      </c>
    </row>
    <row r="60">
      <c r="A60" s="66"/>
      <c r="B60" s="63" t="s">
        <v>356</v>
      </c>
      <c r="C60" s="63" t="s">
        <v>357</v>
      </c>
      <c r="D60" s="56" t="s">
        <v>268</v>
      </c>
      <c r="E60" s="64" t="s">
        <v>358</v>
      </c>
    </row>
    <row r="61">
      <c r="A61" s="67" t="s">
        <v>359</v>
      </c>
      <c r="B61" s="68" t="s">
        <v>251</v>
      </c>
      <c r="C61" s="55" t="s">
        <v>360</v>
      </c>
      <c r="D61" s="58" t="str">
        <f t="shared" ref="D61:D85" si="1">B61</f>
        <v>Agriculture</v>
      </c>
      <c r="E61" s="64" t="s">
        <v>361</v>
      </c>
    </row>
    <row r="62">
      <c r="A62" s="65"/>
      <c r="B62" s="68" t="s">
        <v>256</v>
      </c>
      <c r="C62" s="55" t="s">
        <v>360</v>
      </c>
      <c r="D62" s="58" t="str">
        <f t="shared" si="1"/>
        <v>Airlines</v>
      </c>
      <c r="E62" s="64" t="s">
        <v>361</v>
      </c>
    </row>
    <row r="63">
      <c r="A63" s="65"/>
      <c r="B63" s="68" t="s">
        <v>164</v>
      </c>
      <c r="C63" s="55" t="s">
        <v>360</v>
      </c>
      <c r="D63" s="58" t="str">
        <f t="shared" si="1"/>
        <v>Automotive</v>
      </c>
      <c r="E63" s="64" t="s">
        <v>361</v>
      </c>
    </row>
    <row r="64">
      <c r="A64" s="65"/>
      <c r="B64" s="55" t="s">
        <v>64</v>
      </c>
      <c r="C64" s="55" t="s">
        <v>360</v>
      </c>
      <c r="D64" s="58" t="str">
        <f t="shared" si="1"/>
        <v>Banking</v>
      </c>
      <c r="E64" s="64" t="s">
        <v>361</v>
      </c>
    </row>
    <row r="65">
      <c r="A65" s="65"/>
      <c r="B65" s="55" t="s">
        <v>257</v>
      </c>
      <c r="C65" s="55" t="s">
        <v>360</v>
      </c>
      <c r="D65" s="58" t="str">
        <f t="shared" si="1"/>
        <v>Consumer Goods</v>
      </c>
      <c r="E65" s="64" t="s">
        <v>361</v>
      </c>
    </row>
    <row r="66">
      <c r="A66" s="65"/>
      <c r="B66" s="55" t="s">
        <v>258</v>
      </c>
      <c r="C66" s="55" t="s">
        <v>360</v>
      </c>
      <c r="D66" s="58" t="str">
        <f t="shared" si="1"/>
        <v>Energy &amp; Commodity Trading</v>
      </c>
      <c r="E66" s="64" t="s">
        <v>361</v>
      </c>
    </row>
    <row r="67">
      <c r="A67" s="65"/>
      <c r="B67" s="55" t="s">
        <v>260</v>
      </c>
      <c r="C67" s="55" t="s">
        <v>360</v>
      </c>
      <c r="D67" s="58" t="str">
        <f t="shared" si="1"/>
        <v>Freight &amp; Logistics</v>
      </c>
      <c r="E67" s="64" t="s">
        <v>361</v>
      </c>
    </row>
    <row r="68">
      <c r="A68" s="65"/>
      <c r="B68" s="55" t="s">
        <v>261</v>
      </c>
      <c r="C68" s="55" t="s">
        <v>360</v>
      </c>
      <c r="D68" s="58" t="str">
        <f t="shared" si="1"/>
        <v>Fund Management</v>
      </c>
      <c r="E68" s="64" t="s">
        <v>361</v>
      </c>
    </row>
    <row r="69">
      <c r="A69" s="65"/>
      <c r="B69" s="55" t="s">
        <v>262</v>
      </c>
      <c r="C69" s="55" t="s">
        <v>360</v>
      </c>
      <c r="D69" s="58" t="str">
        <f t="shared" si="1"/>
        <v>Genomics</v>
      </c>
      <c r="E69" s="64" t="s">
        <v>361</v>
      </c>
    </row>
    <row r="70">
      <c r="A70" s="65"/>
      <c r="B70" s="55" t="s">
        <v>263</v>
      </c>
      <c r="C70" s="55" t="s">
        <v>360</v>
      </c>
      <c r="D70" s="58" t="str">
        <f t="shared" si="1"/>
        <v>Government</v>
      </c>
      <c r="E70" s="64" t="s">
        <v>361</v>
      </c>
    </row>
    <row r="71">
      <c r="A71" s="65"/>
      <c r="B71" s="55" t="s">
        <v>264</v>
      </c>
      <c r="C71" s="55" t="s">
        <v>360</v>
      </c>
      <c r="D71" s="58" t="str">
        <f t="shared" si="1"/>
        <v>Healthcare Insurance</v>
      </c>
      <c r="E71" s="64" t="s">
        <v>361</v>
      </c>
    </row>
    <row r="72">
      <c r="A72" s="65"/>
      <c r="B72" s="55" t="s">
        <v>266</v>
      </c>
      <c r="C72" s="55" t="s">
        <v>360</v>
      </c>
      <c r="D72" s="58" t="str">
        <f t="shared" si="1"/>
        <v>Healthcare Provider</v>
      </c>
      <c r="E72" s="64" t="s">
        <v>361</v>
      </c>
    </row>
    <row r="73">
      <c r="A73" s="65"/>
      <c r="B73" s="55" t="s">
        <v>267</v>
      </c>
      <c r="C73" s="55" t="s">
        <v>360</v>
      </c>
      <c r="D73" s="58" t="str">
        <f t="shared" si="1"/>
        <v>Life Insurance &amp; Annuities</v>
      </c>
      <c r="E73" s="64" t="s">
        <v>361</v>
      </c>
    </row>
    <row r="74">
      <c r="A74" s="65"/>
      <c r="B74" s="55" t="s">
        <v>268</v>
      </c>
      <c r="C74" s="55" t="s">
        <v>360</v>
      </c>
      <c r="D74" s="58" t="str">
        <f t="shared" si="1"/>
        <v>Manufacturing</v>
      </c>
      <c r="E74" s="64" t="s">
        <v>361</v>
      </c>
    </row>
    <row r="75">
      <c r="A75" s="65"/>
      <c r="B75" s="68" t="s">
        <v>197</v>
      </c>
      <c r="C75" s="55" t="s">
        <v>360</v>
      </c>
      <c r="D75" s="58" t="str">
        <f t="shared" si="1"/>
        <v>Mining</v>
      </c>
      <c r="E75" s="64" t="s">
        <v>361</v>
      </c>
    </row>
    <row r="76">
      <c r="A76" s="65"/>
      <c r="B76" s="68" t="s">
        <v>270</v>
      </c>
      <c r="C76" s="55" t="s">
        <v>360</v>
      </c>
      <c r="D76" s="58" t="str">
        <f t="shared" si="1"/>
        <v>Oil &amp; Gas</v>
      </c>
      <c r="E76" s="64" t="s">
        <v>361</v>
      </c>
    </row>
    <row r="77">
      <c r="A77" s="65"/>
      <c r="B77" s="55" t="s">
        <v>271</v>
      </c>
      <c r="C77" s="55" t="s">
        <v>360</v>
      </c>
      <c r="D77" s="58" t="str">
        <f t="shared" si="1"/>
        <v>Pharmaceuticals</v>
      </c>
      <c r="E77" s="64" t="s">
        <v>361</v>
      </c>
    </row>
    <row r="78">
      <c r="A78" s="65"/>
      <c r="B78" s="55" t="s">
        <v>272</v>
      </c>
      <c r="C78" s="55" t="s">
        <v>360</v>
      </c>
      <c r="D78" s="58" t="str">
        <f t="shared" si="1"/>
        <v>Property &amp; Casualty Insurance</v>
      </c>
      <c r="E78" s="64" t="s">
        <v>361</v>
      </c>
    </row>
    <row r="79">
      <c r="A79" s="65"/>
      <c r="B79" s="55" t="s">
        <v>273</v>
      </c>
      <c r="C79" s="55" t="s">
        <v>360</v>
      </c>
      <c r="D79" s="58" t="str">
        <f t="shared" si="1"/>
        <v>R&amp;D and Clinical Trials</v>
      </c>
      <c r="E79" s="64" t="s">
        <v>361</v>
      </c>
    </row>
    <row r="80">
      <c r="A80" s="65"/>
      <c r="B80" s="55" t="s">
        <v>274</v>
      </c>
      <c r="C80" s="55" t="s">
        <v>360</v>
      </c>
      <c r="D80" s="58" t="str">
        <f t="shared" si="1"/>
        <v>Restaurants</v>
      </c>
      <c r="E80" s="64" t="s">
        <v>361</v>
      </c>
    </row>
    <row r="81">
      <c r="A81" s="65"/>
      <c r="B81" s="55" t="s">
        <v>156</v>
      </c>
      <c r="C81" s="55" t="s">
        <v>360</v>
      </c>
      <c r="D81" s="58" t="str">
        <f t="shared" si="1"/>
        <v>Retail</v>
      </c>
      <c r="E81" s="64" t="s">
        <v>361</v>
      </c>
    </row>
    <row r="82">
      <c r="A82" s="65"/>
      <c r="B82" s="55" t="s">
        <v>275</v>
      </c>
      <c r="C82" s="55" t="s">
        <v>360</v>
      </c>
      <c r="D82" s="58" t="str">
        <f t="shared" si="1"/>
        <v>Sustainability</v>
      </c>
      <c r="E82" s="64" t="s">
        <v>361</v>
      </c>
    </row>
    <row r="83">
      <c r="A83" s="65"/>
      <c r="B83" s="55" t="s">
        <v>278</v>
      </c>
      <c r="C83" s="55" t="s">
        <v>360</v>
      </c>
      <c r="D83" s="58" t="str">
        <f t="shared" si="1"/>
        <v>Travel Services</v>
      </c>
      <c r="E83" s="64" t="s">
        <v>361</v>
      </c>
    </row>
    <row r="84">
      <c r="A84" s="65"/>
      <c r="B84" s="55" t="s">
        <v>362</v>
      </c>
      <c r="C84" s="55" t="s">
        <v>360</v>
      </c>
      <c r="D84" s="58" t="str">
        <f t="shared" si="1"/>
        <v>Utilities</v>
      </c>
      <c r="E84" s="64" t="s">
        <v>361</v>
      </c>
    </row>
    <row r="85">
      <c r="A85" s="66"/>
      <c r="B85" s="55" t="s">
        <v>363</v>
      </c>
      <c r="C85" s="55" t="s">
        <v>360</v>
      </c>
      <c r="D85" s="58" t="str">
        <f t="shared" si="1"/>
        <v>Wireless</v>
      </c>
      <c r="E85" s="64" t="s">
        <v>361</v>
      </c>
    </row>
    <row r="86">
      <c r="E86" s="69"/>
    </row>
    <row r="139">
      <c r="E139" s="69"/>
    </row>
    <row r="140">
      <c r="E140" s="69"/>
    </row>
    <row r="141">
      <c r="E141" s="69"/>
    </row>
    <row r="142">
      <c r="E142" s="69"/>
    </row>
    <row r="143">
      <c r="E143" s="69"/>
    </row>
    <row r="144">
      <c r="E144" s="69"/>
    </row>
    <row r="145">
      <c r="E145" s="69"/>
    </row>
    <row r="146">
      <c r="E146" s="69"/>
    </row>
    <row r="147">
      <c r="E147" s="69"/>
    </row>
    <row r="148">
      <c r="E148" s="69"/>
    </row>
    <row r="149">
      <c r="E149" s="69"/>
    </row>
    <row r="150">
      <c r="E150" s="69"/>
    </row>
    <row r="151">
      <c r="E151" s="69"/>
    </row>
    <row r="152">
      <c r="E152" s="69"/>
    </row>
    <row r="153">
      <c r="E153" s="69"/>
    </row>
    <row r="154">
      <c r="E154" s="69"/>
    </row>
    <row r="155">
      <c r="E155" s="69"/>
    </row>
    <row r="156">
      <c r="E156" s="69"/>
    </row>
    <row r="157">
      <c r="E157" s="69"/>
    </row>
    <row r="158">
      <c r="E158" s="69"/>
    </row>
    <row r="159">
      <c r="E159" s="69"/>
    </row>
    <row r="160">
      <c r="E160" s="69"/>
    </row>
    <row r="161">
      <c r="E161" s="69"/>
    </row>
    <row r="162">
      <c r="E162" s="69"/>
    </row>
    <row r="163">
      <c r="E163" s="69"/>
    </row>
    <row r="164">
      <c r="E164" s="69"/>
    </row>
    <row r="165">
      <c r="E165" s="69"/>
    </row>
    <row r="166">
      <c r="E166" s="69"/>
    </row>
    <row r="167">
      <c r="E167" s="69"/>
    </row>
    <row r="168">
      <c r="E168" s="69"/>
    </row>
    <row r="169">
      <c r="E169" s="69"/>
    </row>
    <row r="170">
      <c r="E170" s="69"/>
    </row>
    <row r="171">
      <c r="E171" s="69"/>
    </row>
    <row r="172">
      <c r="E172" s="69"/>
    </row>
    <row r="173">
      <c r="E173" s="69"/>
    </row>
    <row r="174">
      <c r="E174" s="69"/>
    </row>
    <row r="175">
      <c r="E175" s="69"/>
    </row>
    <row r="176">
      <c r="E176" s="69"/>
    </row>
    <row r="177">
      <c r="E177" s="69"/>
    </row>
    <row r="178">
      <c r="E178" s="69"/>
    </row>
    <row r="179">
      <c r="E179" s="69"/>
    </row>
    <row r="180">
      <c r="E180" s="69"/>
    </row>
    <row r="181">
      <c r="E181" s="69"/>
    </row>
    <row r="182">
      <c r="E182" s="69"/>
    </row>
    <row r="183">
      <c r="E183" s="69"/>
    </row>
    <row r="184">
      <c r="E184" s="69"/>
    </row>
    <row r="185">
      <c r="E185" s="69"/>
    </row>
    <row r="186">
      <c r="E186" s="69"/>
    </row>
    <row r="187">
      <c r="E187" s="69"/>
    </row>
    <row r="188">
      <c r="E188" s="69"/>
    </row>
    <row r="189">
      <c r="E189" s="69"/>
    </row>
    <row r="190">
      <c r="E190" s="69"/>
    </row>
    <row r="191">
      <c r="E191" s="69"/>
    </row>
    <row r="192">
      <c r="E192" s="69"/>
    </row>
    <row r="193">
      <c r="E193" s="69"/>
    </row>
    <row r="194">
      <c r="E194" s="69"/>
    </row>
    <row r="195">
      <c r="E195" s="69"/>
    </row>
    <row r="196">
      <c r="E196" s="69"/>
    </row>
    <row r="197">
      <c r="E197" s="69"/>
    </row>
    <row r="198">
      <c r="E198" s="69"/>
    </row>
    <row r="199">
      <c r="E199" s="69"/>
    </row>
    <row r="200">
      <c r="E200" s="69"/>
    </row>
    <row r="201">
      <c r="E201" s="69"/>
    </row>
    <row r="202">
      <c r="E202" s="69"/>
    </row>
    <row r="203">
      <c r="E203" s="69"/>
    </row>
    <row r="204">
      <c r="E204" s="69"/>
    </row>
    <row r="205">
      <c r="E205" s="69"/>
    </row>
    <row r="206">
      <c r="E206" s="69"/>
    </row>
    <row r="207">
      <c r="E207" s="69"/>
    </row>
    <row r="208">
      <c r="E208" s="69"/>
    </row>
    <row r="209">
      <c r="E209" s="69"/>
    </row>
    <row r="210">
      <c r="E210" s="69"/>
    </row>
    <row r="211">
      <c r="E211" s="69"/>
    </row>
    <row r="212">
      <c r="E212" s="69"/>
    </row>
    <row r="213">
      <c r="E213" s="69"/>
    </row>
    <row r="214">
      <c r="E214" s="69"/>
    </row>
    <row r="215">
      <c r="E215" s="69"/>
    </row>
    <row r="216">
      <c r="E216" s="69"/>
    </row>
    <row r="217">
      <c r="E217" s="69"/>
    </row>
    <row r="218">
      <c r="E218" s="69"/>
    </row>
    <row r="219">
      <c r="E219" s="69"/>
    </row>
    <row r="220">
      <c r="E220" s="69"/>
    </row>
    <row r="221">
      <c r="E221" s="69"/>
    </row>
    <row r="222">
      <c r="E222" s="69"/>
    </row>
    <row r="223">
      <c r="E223" s="69"/>
    </row>
    <row r="224">
      <c r="E224" s="69"/>
    </row>
    <row r="225">
      <c r="E225" s="69"/>
    </row>
    <row r="226">
      <c r="E226" s="69"/>
    </row>
    <row r="227">
      <c r="E227" s="69"/>
    </row>
    <row r="228">
      <c r="E228" s="69"/>
    </row>
    <row r="229">
      <c r="E229" s="69"/>
    </row>
    <row r="230">
      <c r="E230" s="69"/>
    </row>
    <row r="231">
      <c r="E231" s="69"/>
    </row>
    <row r="232">
      <c r="E232" s="69"/>
    </row>
    <row r="233">
      <c r="E233" s="69"/>
    </row>
    <row r="234">
      <c r="E234" s="69"/>
    </row>
    <row r="235">
      <c r="E235" s="69"/>
    </row>
    <row r="236">
      <c r="E236" s="69"/>
    </row>
    <row r="237">
      <c r="E237" s="69"/>
    </row>
    <row r="238">
      <c r="E238" s="69"/>
    </row>
    <row r="239">
      <c r="E239" s="69"/>
    </row>
    <row r="240">
      <c r="E240" s="69"/>
    </row>
    <row r="241">
      <c r="E241" s="69"/>
    </row>
    <row r="242">
      <c r="E242" s="69"/>
    </row>
    <row r="243">
      <c r="E243" s="69"/>
    </row>
    <row r="244">
      <c r="E244" s="69"/>
    </row>
    <row r="245">
      <c r="E245" s="69"/>
    </row>
    <row r="246">
      <c r="E246" s="69"/>
    </row>
    <row r="247">
      <c r="E247" s="69"/>
    </row>
    <row r="248">
      <c r="E248" s="69"/>
    </row>
    <row r="249">
      <c r="E249" s="69"/>
    </row>
    <row r="250">
      <c r="E250" s="69"/>
    </row>
    <row r="251">
      <c r="E251" s="69"/>
    </row>
    <row r="252">
      <c r="E252" s="69"/>
    </row>
    <row r="253">
      <c r="E253" s="69"/>
    </row>
    <row r="254">
      <c r="E254" s="69"/>
    </row>
    <row r="255">
      <c r="E255" s="69"/>
    </row>
    <row r="256">
      <c r="E256" s="69"/>
    </row>
    <row r="257">
      <c r="E257" s="69"/>
    </row>
    <row r="258">
      <c r="E258" s="69"/>
    </row>
    <row r="259">
      <c r="E259" s="69"/>
    </row>
    <row r="260">
      <c r="E260" s="69"/>
    </row>
    <row r="261">
      <c r="E261" s="69"/>
    </row>
    <row r="262">
      <c r="E262" s="69"/>
    </row>
    <row r="263">
      <c r="E263" s="69"/>
    </row>
    <row r="264">
      <c r="E264" s="69"/>
    </row>
    <row r="265">
      <c r="E265" s="69"/>
    </row>
    <row r="266">
      <c r="E266" s="69"/>
    </row>
    <row r="267">
      <c r="E267" s="69"/>
    </row>
    <row r="268">
      <c r="E268" s="69"/>
    </row>
    <row r="269">
      <c r="E269" s="69"/>
    </row>
    <row r="270">
      <c r="E270" s="69"/>
    </row>
    <row r="271">
      <c r="E271" s="69"/>
    </row>
    <row r="272">
      <c r="E272" s="69"/>
    </row>
    <row r="273">
      <c r="E273" s="69"/>
    </row>
    <row r="274">
      <c r="E274" s="69"/>
    </row>
    <row r="275">
      <c r="E275" s="69"/>
    </row>
    <row r="276">
      <c r="E276" s="69"/>
    </row>
    <row r="277">
      <c r="E277" s="69"/>
    </row>
    <row r="278">
      <c r="E278" s="69"/>
    </row>
    <row r="279">
      <c r="E279" s="69"/>
    </row>
    <row r="280">
      <c r="E280" s="69"/>
    </row>
    <row r="281">
      <c r="E281" s="69"/>
    </row>
    <row r="282">
      <c r="E282" s="69"/>
    </row>
    <row r="283">
      <c r="E283" s="69"/>
    </row>
    <row r="284">
      <c r="E284" s="69"/>
    </row>
    <row r="285">
      <c r="E285" s="69"/>
    </row>
    <row r="286">
      <c r="E286" s="69"/>
    </row>
    <row r="287">
      <c r="E287" s="69"/>
    </row>
    <row r="288">
      <c r="E288" s="69"/>
    </row>
    <row r="289">
      <c r="E289" s="69"/>
    </row>
    <row r="290">
      <c r="E290" s="69"/>
    </row>
    <row r="291">
      <c r="E291" s="69"/>
    </row>
    <row r="292">
      <c r="E292" s="69"/>
    </row>
    <row r="293">
      <c r="E293" s="69"/>
    </row>
    <row r="294">
      <c r="E294" s="69"/>
    </row>
    <row r="295">
      <c r="E295" s="69"/>
    </row>
    <row r="296">
      <c r="E296" s="69"/>
    </row>
    <row r="297">
      <c r="E297" s="69"/>
    </row>
    <row r="298">
      <c r="E298" s="69"/>
    </row>
    <row r="299">
      <c r="E299" s="69"/>
    </row>
    <row r="300">
      <c r="E300" s="69"/>
    </row>
    <row r="301">
      <c r="E301" s="69"/>
    </row>
    <row r="302">
      <c r="E302" s="69"/>
    </row>
    <row r="303">
      <c r="E303" s="69"/>
    </row>
    <row r="304">
      <c r="E304" s="69"/>
    </row>
    <row r="305">
      <c r="E305" s="69"/>
    </row>
    <row r="306">
      <c r="E306" s="69"/>
    </row>
    <row r="307">
      <c r="E307" s="69"/>
    </row>
    <row r="308">
      <c r="E308" s="69"/>
    </row>
    <row r="309">
      <c r="E309" s="69"/>
    </row>
    <row r="310">
      <c r="E310" s="69"/>
    </row>
    <row r="311">
      <c r="E311" s="69"/>
    </row>
    <row r="312">
      <c r="E312" s="69"/>
    </row>
    <row r="313">
      <c r="E313" s="69"/>
    </row>
    <row r="314">
      <c r="E314" s="69"/>
    </row>
    <row r="315">
      <c r="E315" s="69"/>
    </row>
    <row r="316">
      <c r="E316" s="69"/>
    </row>
    <row r="317">
      <c r="E317" s="69"/>
    </row>
    <row r="318">
      <c r="E318" s="69"/>
    </row>
    <row r="319">
      <c r="E319" s="69"/>
    </row>
    <row r="320">
      <c r="E320" s="69"/>
    </row>
    <row r="321">
      <c r="E321" s="69"/>
    </row>
    <row r="322">
      <c r="E322" s="69"/>
    </row>
    <row r="323">
      <c r="E323" s="69"/>
    </row>
    <row r="324">
      <c r="E324" s="69"/>
    </row>
    <row r="325">
      <c r="E325" s="69"/>
    </row>
    <row r="326">
      <c r="E326" s="69"/>
    </row>
    <row r="327">
      <c r="E327" s="69"/>
    </row>
    <row r="328">
      <c r="E328" s="69"/>
    </row>
    <row r="329">
      <c r="E329" s="69"/>
    </row>
    <row r="330">
      <c r="E330" s="69"/>
    </row>
    <row r="331">
      <c r="E331" s="69"/>
    </row>
    <row r="332">
      <c r="E332" s="69"/>
    </row>
    <row r="333">
      <c r="E333" s="69"/>
    </row>
    <row r="334">
      <c r="E334" s="69"/>
    </row>
    <row r="335">
      <c r="E335" s="69"/>
    </row>
    <row r="336">
      <c r="E336" s="69"/>
    </row>
    <row r="337">
      <c r="E337" s="69"/>
    </row>
    <row r="338">
      <c r="E338" s="69"/>
    </row>
    <row r="339">
      <c r="E339" s="69"/>
    </row>
    <row r="340">
      <c r="E340" s="69"/>
    </row>
    <row r="341">
      <c r="E341" s="69"/>
    </row>
    <row r="342">
      <c r="E342" s="69"/>
    </row>
    <row r="343">
      <c r="E343" s="69"/>
    </row>
    <row r="344">
      <c r="E344" s="69"/>
    </row>
    <row r="345">
      <c r="E345" s="69"/>
    </row>
    <row r="346">
      <c r="E346" s="69"/>
    </row>
    <row r="347">
      <c r="E347" s="69"/>
    </row>
    <row r="348">
      <c r="E348" s="69"/>
    </row>
    <row r="349">
      <c r="E349" s="69"/>
    </row>
    <row r="350">
      <c r="E350" s="69"/>
    </row>
    <row r="351">
      <c r="E351" s="69"/>
    </row>
    <row r="352">
      <c r="E352" s="69"/>
    </row>
    <row r="353">
      <c r="E353" s="69"/>
    </row>
    <row r="354">
      <c r="E354" s="69"/>
    </row>
    <row r="355">
      <c r="E355" s="69"/>
    </row>
    <row r="356">
      <c r="E356" s="69"/>
    </row>
    <row r="357">
      <c r="E357" s="69"/>
    </row>
    <row r="358">
      <c r="E358" s="69"/>
    </row>
    <row r="359">
      <c r="E359" s="69"/>
    </row>
    <row r="360">
      <c r="E360" s="69"/>
    </row>
    <row r="361">
      <c r="E361" s="69"/>
    </row>
    <row r="362">
      <c r="E362" s="69"/>
    </row>
    <row r="363">
      <c r="E363" s="69"/>
    </row>
    <row r="364">
      <c r="E364" s="69"/>
    </row>
    <row r="365">
      <c r="E365" s="69"/>
    </row>
    <row r="366">
      <c r="E366" s="69"/>
    </row>
    <row r="367">
      <c r="E367" s="69"/>
    </row>
    <row r="368">
      <c r="E368" s="69"/>
    </row>
    <row r="369">
      <c r="E369" s="69"/>
    </row>
    <row r="370">
      <c r="E370" s="69"/>
    </row>
    <row r="371">
      <c r="E371" s="69"/>
    </row>
    <row r="372">
      <c r="E372" s="69"/>
    </row>
    <row r="373">
      <c r="E373" s="69"/>
    </row>
    <row r="374">
      <c r="E374" s="69"/>
    </row>
    <row r="375">
      <c r="E375" s="69"/>
    </row>
    <row r="376">
      <c r="E376" s="69"/>
    </row>
    <row r="377">
      <c r="E377" s="69"/>
    </row>
    <row r="378">
      <c r="E378" s="69"/>
    </row>
    <row r="379">
      <c r="E379" s="69"/>
    </row>
    <row r="380">
      <c r="E380" s="69"/>
    </row>
    <row r="381">
      <c r="E381" s="69"/>
    </row>
    <row r="382">
      <c r="E382" s="69"/>
    </row>
    <row r="383">
      <c r="E383" s="69"/>
    </row>
    <row r="384">
      <c r="E384" s="69"/>
    </row>
    <row r="385">
      <c r="E385" s="69"/>
    </row>
    <row r="386">
      <c r="E386" s="69"/>
    </row>
    <row r="387">
      <c r="E387" s="69"/>
    </row>
    <row r="388">
      <c r="E388" s="69"/>
    </row>
    <row r="389">
      <c r="E389" s="69"/>
    </row>
    <row r="390">
      <c r="E390" s="69"/>
    </row>
    <row r="391">
      <c r="E391" s="69"/>
    </row>
    <row r="392">
      <c r="E392" s="69"/>
    </row>
    <row r="393">
      <c r="E393" s="69"/>
    </row>
    <row r="394">
      <c r="E394" s="69"/>
    </row>
    <row r="395">
      <c r="E395" s="69"/>
    </row>
    <row r="396">
      <c r="E396" s="69"/>
    </row>
    <row r="397">
      <c r="E397" s="69"/>
    </row>
    <row r="398">
      <c r="E398" s="69"/>
    </row>
    <row r="399">
      <c r="E399" s="69"/>
    </row>
    <row r="400">
      <c r="E400" s="69"/>
    </row>
    <row r="401">
      <c r="E401" s="69"/>
    </row>
    <row r="402">
      <c r="E402" s="69"/>
    </row>
    <row r="403">
      <c r="E403" s="69"/>
    </row>
    <row r="404">
      <c r="E404" s="69"/>
    </row>
    <row r="405">
      <c r="E405" s="69"/>
    </row>
    <row r="406">
      <c r="E406" s="69"/>
    </row>
    <row r="407">
      <c r="E407" s="69"/>
    </row>
    <row r="408">
      <c r="E408" s="69"/>
    </row>
    <row r="409">
      <c r="E409" s="69"/>
    </row>
    <row r="410">
      <c r="E410" s="69"/>
    </row>
    <row r="411">
      <c r="E411" s="69"/>
    </row>
    <row r="412">
      <c r="E412" s="69"/>
    </row>
    <row r="413">
      <c r="E413" s="69"/>
    </row>
    <row r="414">
      <c r="E414" s="69"/>
    </row>
    <row r="415">
      <c r="E415" s="69"/>
    </row>
    <row r="416">
      <c r="E416" s="69"/>
    </row>
    <row r="417">
      <c r="E417" s="69"/>
    </row>
    <row r="418">
      <c r="E418" s="69"/>
    </row>
    <row r="419">
      <c r="E419" s="69"/>
    </row>
    <row r="420">
      <c r="E420" s="69"/>
    </row>
    <row r="421">
      <c r="E421" s="69"/>
    </row>
    <row r="422">
      <c r="E422" s="69"/>
    </row>
    <row r="423">
      <c r="E423" s="69"/>
    </row>
    <row r="424">
      <c r="E424" s="69"/>
    </row>
    <row r="425">
      <c r="E425" s="69"/>
    </row>
    <row r="426">
      <c r="E426" s="69"/>
    </row>
    <row r="427">
      <c r="E427" s="69"/>
    </row>
    <row r="428">
      <c r="E428" s="69"/>
    </row>
    <row r="429">
      <c r="E429" s="69"/>
    </row>
    <row r="430">
      <c r="E430" s="69"/>
    </row>
    <row r="431">
      <c r="E431" s="69"/>
    </row>
    <row r="432">
      <c r="E432" s="69"/>
    </row>
    <row r="433">
      <c r="E433" s="69"/>
    </row>
    <row r="434">
      <c r="E434" s="69"/>
    </row>
    <row r="435">
      <c r="E435" s="69"/>
    </row>
    <row r="436">
      <c r="E436" s="69"/>
    </row>
    <row r="437">
      <c r="E437" s="69"/>
    </row>
    <row r="438">
      <c r="E438" s="69"/>
    </row>
    <row r="439">
      <c r="E439" s="69"/>
    </row>
    <row r="440">
      <c r="E440" s="69"/>
    </row>
    <row r="441">
      <c r="E441" s="69"/>
    </row>
    <row r="442">
      <c r="E442" s="69"/>
    </row>
    <row r="443">
      <c r="E443" s="69"/>
    </row>
    <row r="444">
      <c r="E444" s="69"/>
    </row>
    <row r="445">
      <c r="E445" s="69"/>
    </row>
    <row r="446">
      <c r="E446" s="69"/>
    </row>
    <row r="447">
      <c r="E447" s="69"/>
    </row>
    <row r="448">
      <c r="E448" s="69"/>
    </row>
    <row r="449">
      <c r="E449" s="69"/>
    </row>
    <row r="450">
      <c r="E450" s="69"/>
    </row>
    <row r="451">
      <c r="E451" s="69"/>
    </row>
    <row r="452">
      <c r="E452" s="69"/>
    </row>
    <row r="453">
      <c r="E453" s="69"/>
    </row>
    <row r="454">
      <c r="E454" s="69"/>
    </row>
    <row r="455">
      <c r="E455" s="69"/>
    </row>
    <row r="456">
      <c r="E456" s="69"/>
    </row>
    <row r="457">
      <c r="E457" s="69"/>
    </row>
    <row r="458">
      <c r="E458" s="69"/>
    </row>
    <row r="459">
      <c r="E459" s="69"/>
    </row>
    <row r="460">
      <c r="E460" s="69"/>
    </row>
    <row r="461">
      <c r="E461" s="69"/>
    </row>
    <row r="462">
      <c r="E462" s="69"/>
    </row>
    <row r="463">
      <c r="E463" s="69"/>
    </row>
    <row r="464">
      <c r="E464" s="69"/>
    </row>
    <row r="465">
      <c r="E465" s="69"/>
    </row>
    <row r="466">
      <c r="E466" s="69"/>
    </row>
    <row r="467">
      <c r="E467" s="69"/>
    </row>
    <row r="468">
      <c r="E468" s="69"/>
    </row>
    <row r="469">
      <c r="E469" s="69"/>
    </row>
    <row r="470">
      <c r="E470" s="69"/>
    </row>
    <row r="471">
      <c r="E471" s="69"/>
    </row>
    <row r="472">
      <c r="E472" s="69"/>
    </row>
    <row r="473">
      <c r="E473" s="69"/>
    </row>
    <row r="474">
      <c r="E474" s="69"/>
    </row>
    <row r="475">
      <c r="E475" s="69"/>
    </row>
    <row r="476">
      <c r="E476" s="69"/>
    </row>
    <row r="477">
      <c r="E477" s="69"/>
    </row>
    <row r="478">
      <c r="E478" s="69"/>
    </row>
    <row r="479">
      <c r="E479" s="69"/>
    </row>
    <row r="480">
      <c r="E480" s="69"/>
    </row>
    <row r="481">
      <c r="E481" s="69"/>
    </row>
    <row r="482">
      <c r="E482" s="69"/>
    </row>
    <row r="483">
      <c r="E483" s="69"/>
    </row>
    <row r="484">
      <c r="E484" s="69"/>
    </row>
    <row r="485">
      <c r="E485" s="69"/>
    </row>
    <row r="486">
      <c r="E486" s="69"/>
    </row>
    <row r="487">
      <c r="E487" s="69"/>
    </row>
    <row r="488">
      <c r="E488" s="69"/>
    </row>
    <row r="489">
      <c r="E489" s="69"/>
    </row>
    <row r="490">
      <c r="E490" s="69"/>
    </row>
    <row r="491">
      <c r="E491" s="69"/>
    </row>
    <row r="492">
      <c r="E492" s="69"/>
    </row>
    <row r="493">
      <c r="E493" s="69"/>
    </row>
    <row r="494">
      <c r="E494" s="69"/>
    </row>
    <row r="495">
      <c r="E495" s="69"/>
    </row>
    <row r="496">
      <c r="E496" s="69"/>
    </row>
    <row r="497">
      <c r="E497" s="69"/>
    </row>
    <row r="498">
      <c r="E498" s="69"/>
    </row>
    <row r="499">
      <c r="E499" s="69"/>
    </row>
    <row r="500">
      <c r="E500" s="69"/>
    </row>
    <row r="501">
      <c r="E501" s="69"/>
    </row>
    <row r="502">
      <c r="E502" s="69"/>
    </row>
    <row r="503">
      <c r="E503" s="69"/>
    </row>
    <row r="504">
      <c r="E504" s="69"/>
    </row>
    <row r="505">
      <c r="E505" s="69"/>
    </row>
    <row r="506">
      <c r="E506" s="69"/>
    </row>
    <row r="507">
      <c r="E507" s="69"/>
    </row>
    <row r="508">
      <c r="E508" s="69"/>
    </row>
    <row r="509">
      <c r="E509" s="69"/>
    </row>
    <row r="510">
      <c r="E510" s="69"/>
    </row>
    <row r="511">
      <c r="E511" s="69"/>
    </row>
    <row r="512">
      <c r="E512" s="69"/>
    </row>
    <row r="513">
      <c r="E513" s="69"/>
    </row>
    <row r="514">
      <c r="E514" s="69"/>
    </row>
    <row r="515">
      <c r="E515" s="69"/>
    </row>
    <row r="516">
      <c r="E516" s="69"/>
    </row>
    <row r="517">
      <c r="E517" s="69"/>
    </row>
    <row r="518">
      <c r="E518" s="69"/>
    </row>
    <row r="519">
      <c r="E519" s="69"/>
    </row>
    <row r="520">
      <c r="E520" s="69"/>
    </row>
    <row r="521">
      <c r="E521" s="69"/>
    </row>
    <row r="522">
      <c r="E522" s="69"/>
    </row>
    <row r="523">
      <c r="E523" s="69"/>
    </row>
    <row r="524">
      <c r="E524" s="69"/>
    </row>
    <row r="525">
      <c r="E525" s="69"/>
    </row>
    <row r="526">
      <c r="E526" s="69"/>
    </row>
    <row r="527">
      <c r="E527" s="69"/>
    </row>
    <row r="528">
      <c r="E528" s="69"/>
    </row>
    <row r="529">
      <c r="E529" s="69"/>
    </row>
    <row r="530">
      <c r="E530" s="69"/>
    </row>
    <row r="531">
      <c r="E531" s="69"/>
    </row>
    <row r="532">
      <c r="E532" s="69"/>
    </row>
    <row r="533">
      <c r="E533" s="69"/>
    </row>
    <row r="534">
      <c r="E534" s="69"/>
    </row>
    <row r="535">
      <c r="E535" s="69"/>
    </row>
    <row r="536">
      <c r="E536" s="69"/>
    </row>
    <row r="537">
      <c r="E537" s="69"/>
    </row>
    <row r="538">
      <c r="E538" s="69"/>
    </row>
    <row r="539">
      <c r="E539" s="69"/>
    </row>
    <row r="540">
      <c r="E540" s="69"/>
    </row>
    <row r="541">
      <c r="E541" s="69"/>
    </row>
    <row r="542">
      <c r="E542" s="69"/>
    </row>
    <row r="543">
      <c r="E543" s="69"/>
    </row>
    <row r="544">
      <c r="E544" s="69"/>
    </row>
    <row r="545">
      <c r="E545" s="69"/>
    </row>
    <row r="546">
      <c r="E546" s="69"/>
    </row>
    <row r="547">
      <c r="E547" s="69"/>
    </row>
    <row r="548">
      <c r="E548" s="69"/>
    </row>
    <row r="549">
      <c r="E549" s="69"/>
    </row>
    <row r="550">
      <c r="E550" s="69"/>
    </row>
    <row r="551">
      <c r="E551" s="69"/>
    </row>
    <row r="552">
      <c r="E552" s="69"/>
    </row>
    <row r="553">
      <c r="E553" s="69"/>
    </row>
    <row r="554">
      <c r="E554" s="69"/>
    </row>
    <row r="555">
      <c r="E555" s="69"/>
    </row>
    <row r="556">
      <c r="E556" s="69"/>
    </row>
    <row r="557">
      <c r="E557" s="69"/>
    </row>
    <row r="558">
      <c r="E558" s="69"/>
    </row>
    <row r="559">
      <c r="E559" s="69"/>
    </row>
    <row r="560">
      <c r="E560" s="69"/>
    </row>
    <row r="561">
      <c r="E561" s="69"/>
    </row>
    <row r="562">
      <c r="E562" s="69"/>
    </row>
    <row r="563">
      <c r="E563" s="69"/>
    </row>
    <row r="564">
      <c r="E564" s="69"/>
    </row>
    <row r="565">
      <c r="E565" s="69"/>
    </row>
    <row r="566">
      <c r="E566" s="69"/>
    </row>
    <row r="567">
      <c r="E567" s="69"/>
    </row>
    <row r="568">
      <c r="E568" s="69"/>
    </row>
    <row r="569">
      <c r="E569" s="69"/>
    </row>
    <row r="570">
      <c r="E570" s="69"/>
    </row>
    <row r="571">
      <c r="E571" s="69"/>
    </row>
    <row r="572">
      <c r="E572" s="69"/>
    </row>
    <row r="573">
      <c r="E573" s="69"/>
    </row>
    <row r="574">
      <c r="E574" s="69"/>
    </row>
    <row r="575">
      <c r="E575" s="69"/>
    </row>
    <row r="576">
      <c r="E576" s="69"/>
    </row>
    <row r="577">
      <c r="E577" s="69"/>
    </row>
    <row r="578">
      <c r="E578" s="69"/>
    </row>
    <row r="579">
      <c r="E579" s="69"/>
    </row>
    <row r="580">
      <c r="E580" s="69"/>
    </row>
    <row r="581">
      <c r="E581" s="69"/>
    </row>
    <row r="582">
      <c r="E582" s="69"/>
    </row>
    <row r="583">
      <c r="E583" s="69"/>
    </row>
    <row r="584">
      <c r="E584" s="69"/>
    </row>
    <row r="585">
      <c r="E585" s="69"/>
    </row>
    <row r="586">
      <c r="E586" s="69"/>
    </row>
    <row r="587">
      <c r="E587" s="69"/>
    </row>
    <row r="588">
      <c r="E588" s="69"/>
    </row>
    <row r="589">
      <c r="E589" s="69"/>
    </row>
    <row r="590">
      <c r="E590" s="69"/>
    </row>
    <row r="591">
      <c r="E591" s="69"/>
    </row>
    <row r="592">
      <c r="E592" s="69"/>
    </row>
    <row r="593">
      <c r="E593" s="69"/>
    </row>
    <row r="594">
      <c r="E594" s="69"/>
    </row>
    <row r="595">
      <c r="E595" s="69"/>
    </row>
    <row r="596">
      <c r="E596" s="69"/>
    </row>
    <row r="597">
      <c r="E597" s="69"/>
    </row>
    <row r="598">
      <c r="E598" s="69"/>
    </row>
    <row r="599">
      <c r="E599" s="69"/>
    </row>
    <row r="600">
      <c r="E600" s="69"/>
    </row>
    <row r="601">
      <c r="E601" s="69"/>
    </row>
    <row r="602">
      <c r="E602" s="69"/>
    </row>
    <row r="603">
      <c r="E603" s="69"/>
    </row>
    <row r="604">
      <c r="E604" s="69"/>
    </row>
    <row r="605">
      <c r="E605" s="69"/>
    </row>
    <row r="606">
      <c r="E606" s="69"/>
    </row>
    <row r="607">
      <c r="E607" s="69"/>
    </row>
    <row r="608">
      <c r="E608" s="69"/>
    </row>
    <row r="609">
      <c r="E609" s="69"/>
    </row>
    <row r="610">
      <c r="E610" s="69"/>
    </row>
    <row r="611">
      <c r="E611" s="69"/>
    </row>
    <row r="612">
      <c r="E612" s="69"/>
    </row>
    <row r="613">
      <c r="E613" s="69"/>
    </row>
    <row r="614">
      <c r="E614" s="69"/>
    </row>
    <row r="615">
      <c r="E615" s="69"/>
    </row>
    <row r="616">
      <c r="E616" s="69"/>
    </row>
    <row r="617">
      <c r="E617" s="69"/>
    </row>
    <row r="618">
      <c r="E618" s="69"/>
    </row>
    <row r="619">
      <c r="E619" s="69"/>
    </row>
    <row r="620">
      <c r="E620" s="69"/>
    </row>
    <row r="621">
      <c r="E621" s="69"/>
    </row>
    <row r="622">
      <c r="E622" s="69"/>
    </row>
    <row r="623">
      <c r="E623" s="69"/>
    </row>
    <row r="624">
      <c r="E624" s="69"/>
    </row>
    <row r="625">
      <c r="E625" s="69"/>
    </row>
    <row r="626">
      <c r="E626" s="69"/>
    </row>
    <row r="627">
      <c r="E627" s="69"/>
    </row>
    <row r="628">
      <c r="E628" s="69"/>
    </row>
    <row r="629">
      <c r="E629" s="69"/>
    </row>
    <row r="630">
      <c r="E630" s="69"/>
    </row>
    <row r="631">
      <c r="E631" s="69"/>
    </row>
    <row r="632">
      <c r="E632" s="69"/>
    </row>
    <row r="633">
      <c r="E633" s="69"/>
    </row>
    <row r="634">
      <c r="E634" s="69"/>
    </row>
    <row r="635">
      <c r="E635" s="69"/>
    </row>
    <row r="636">
      <c r="E636" s="69"/>
    </row>
    <row r="637">
      <c r="E637" s="69"/>
    </row>
    <row r="638">
      <c r="E638" s="69"/>
    </row>
    <row r="639">
      <c r="E639" s="69"/>
    </row>
    <row r="640">
      <c r="E640" s="69"/>
    </row>
    <row r="641">
      <c r="E641" s="69"/>
    </row>
    <row r="642">
      <c r="E642" s="69"/>
    </row>
    <row r="643">
      <c r="E643" s="69"/>
    </row>
    <row r="644">
      <c r="E644" s="69"/>
    </row>
    <row r="645">
      <c r="E645" s="69"/>
    </row>
    <row r="646">
      <c r="E646" s="69"/>
    </row>
    <row r="647">
      <c r="E647" s="69"/>
    </row>
    <row r="648">
      <c r="E648" s="69"/>
    </row>
    <row r="649">
      <c r="E649" s="69"/>
    </row>
    <row r="650">
      <c r="E650" s="69"/>
    </row>
    <row r="651">
      <c r="E651" s="69"/>
    </row>
    <row r="652">
      <c r="E652" s="69"/>
    </row>
    <row r="653">
      <c r="E653" s="69"/>
    </row>
    <row r="654">
      <c r="E654" s="69"/>
    </row>
    <row r="655">
      <c r="E655" s="69"/>
    </row>
    <row r="656">
      <c r="E656" s="69"/>
    </row>
    <row r="657">
      <c r="E657" s="69"/>
    </row>
    <row r="658">
      <c r="E658" s="69"/>
    </row>
    <row r="659">
      <c r="E659" s="69"/>
    </row>
    <row r="660">
      <c r="E660" s="69"/>
    </row>
    <row r="661">
      <c r="E661" s="69"/>
    </row>
    <row r="662">
      <c r="E662" s="69"/>
    </row>
    <row r="663">
      <c r="E663" s="69"/>
    </row>
    <row r="664">
      <c r="E664" s="69"/>
    </row>
    <row r="665">
      <c r="E665" s="69"/>
    </row>
    <row r="666">
      <c r="E666" s="69"/>
    </row>
    <row r="667">
      <c r="E667" s="69"/>
    </row>
    <row r="668">
      <c r="E668" s="69"/>
    </row>
    <row r="669">
      <c r="E669" s="69"/>
    </row>
    <row r="670">
      <c r="E670" s="69"/>
    </row>
    <row r="671">
      <c r="E671" s="69"/>
    </row>
    <row r="672">
      <c r="E672" s="69"/>
    </row>
    <row r="673">
      <c r="E673" s="69"/>
    </row>
    <row r="674">
      <c r="E674" s="69"/>
    </row>
    <row r="675">
      <c r="E675" s="69"/>
    </row>
    <row r="676">
      <c r="E676" s="69"/>
    </row>
    <row r="677">
      <c r="E677" s="69"/>
    </row>
    <row r="678">
      <c r="E678" s="69"/>
    </row>
    <row r="679">
      <c r="E679" s="69"/>
    </row>
    <row r="680">
      <c r="E680" s="69"/>
    </row>
    <row r="681">
      <c r="E681" s="69"/>
    </row>
    <row r="682">
      <c r="E682" s="69"/>
    </row>
    <row r="683">
      <c r="E683" s="69"/>
    </row>
    <row r="684">
      <c r="E684" s="69"/>
    </row>
    <row r="685">
      <c r="E685" s="69"/>
    </row>
    <row r="686">
      <c r="E686" s="69"/>
    </row>
    <row r="687">
      <c r="E687" s="69"/>
    </row>
    <row r="688">
      <c r="E688" s="69"/>
    </row>
    <row r="689">
      <c r="E689" s="69"/>
    </row>
    <row r="690">
      <c r="E690" s="69"/>
    </row>
    <row r="691">
      <c r="E691" s="69"/>
    </row>
    <row r="692">
      <c r="E692" s="69"/>
    </row>
    <row r="693">
      <c r="E693" s="69"/>
    </row>
    <row r="694">
      <c r="E694" s="69"/>
    </row>
    <row r="695">
      <c r="E695" s="69"/>
    </row>
    <row r="696">
      <c r="E696" s="69"/>
    </row>
    <row r="697">
      <c r="E697" s="69"/>
    </row>
    <row r="698">
      <c r="E698" s="69"/>
    </row>
    <row r="699">
      <c r="E699" s="69"/>
    </row>
    <row r="700">
      <c r="E700" s="69"/>
    </row>
    <row r="701">
      <c r="E701" s="69"/>
    </row>
    <row r="702">
      <c r="E702" s="69"/>
    </row>
    <row r="703">
      <c r="E703" s="69"/>
    </row>
    <row r="704">
      <c r="E704" s="69"/>
    </row>
    <row r="705">
      <c r="E705" s="69"/>
    </row>
    <row r="706">
      <c r="E706" s="69"/>
    </row>
    <row r="707">
      <c r="E707" s="69"/>
    </row>
    <row r="708">
      <c r="E708" s="69"/>
    </row>
    <row r="709">
      <c r="E709" s="69"/>
    </row>
    <row r="710">
      <c r="E710" s="69"/>
    </row>
    <row r="711">
      <c r="E711" s="69"/>
    </row>
    <row r="712">
      <c r="E712" s="69"/>
    </row>
    <row r="713">
      <c r="E713" s="69"/>
    </row>
    <row r="714">
      <c r="E714" s="69"/>
    </row>
    <row r="715">
      <c r="E715" s="69"/>
    </row>
    <row r="716">
      <c r="E716" s="69"/>
    </row>
    <row r="717">
      <c r="E717" s="69"/>
    </row>
    <row r="718">
      <c r="E718" s="69"/>
    </row>
    <row r="719">
      <c r="E719" s="69"/>
    </row>
    <row r="720">
      <c r="E720" s="69"/>
    </row>
    <row r="721">
      <c r="E721" s="69"/>
    </row>
    <row r="722">
      <c r="E722" s="69"/>
    </row>
    <row r="723">
      <c r="E723" s="69"/>
    </row>
    <row r="724">
      <c r="E724" s="69"/>
    </row>
    <row r="725">
      <c r="E725" s="69"/>
    </row>
    <row r="726">
      <c r="E726" s="69"/>
    </row>
    <row r="727">
      <c r="E727" s="69"/>
    </row>
    <row r="728">
      <c r="E728" s="69"/>
    </row>
    <row r="729">
      <c r="E729" s="69"/>
    </row>
    <row r="730">
      <c r="E730" s="69"/>
    </row>
    <row r="731">
      <c r="E731" s="69"/>
    </row>
    <row r="732">
      <c r="E732" s="69"/>
    </row>
    <row r="733">
      <c r="E733" s="69"/>
    </row>
    <row r="734">
      <c r="E734" s="69"/>
    </row>
    <row r="735">
      <c r="E735" s="69"/>
    </row>
    <row r="736">
      <c r="E736" s="69"/>
    </row>
    <row r="737">
      <c r="E737" s="69"/>
    </row>
    <row r="738">
      <c r="E738" s="69"/>
    </row>
    <row r="739">
      <c r="E739" s="69"/>
    </row>
    <row r="740">
      <c r="E740" s="69"/>
    </row>
    <row r="741">
      <c r="E741" s="69"/>
    </row>
    <row r="742">
      <c r="E742" s="69"/>
    </row>
    <row r="743">
      <c r="E743" s="69"/>
    </row>
    <row r="744">
      <c r="E744" s="69"/>
    </row>
    <row r="745">
      <c r="E745" s="69"/>
    </row>
    <row r="746">
      <c r="E746" s="69"/>
    </row>
    <row r="747">
      <c r="E747" s="69"/>
    </row>
    <row r="748">
      <c r="E748" s="69"/>
    </row>
    <row r="749">
      <c r="E749" s="69"/>
    </row>
    <row r="750">
      <c r="E750" s="69"/>
    </row>
    <row r="751">
      <c r="E751" s="69"/>
    </row>
    <row r="752">
      <c r="E752" s="69"/>
    </row>
    <row r="753">
      <c r="E753" s="69"/>
    </row>
    <row r="754">
      <c r="E754" s="69"/>
    </row>
    <row r="755">
      <c r="E755" s="69"/>
    </row>
    <row r="756">
      <c r="E756" s="69"/>
    </row>
    <row r="757">
      <c r="E757" s="69"/>
    </row>
    <row r="758">
      <c r="E758" s="69"/>
    </row>
    <row r="759">
      <c r="E759" s="69"/>
    </row>
    <row r="760">
      <c r="E760" s="69"/>
    </row>
    <row r="761">
      <c r="E761" s="69"/>
    </row>
    <row r="762">
      <c r="E762" s="69"/>
    </row>
    <row r="763">
      <c r="E763" s="69"/>
    </row>
    <row r="764">
      <c r="E764" s="69"/>
    </row>
    <row r="765">
      <c r="E765" s="69"/>
    </row>
    <row r="766">
      <c r="E766" s="69"/>
    </row>
    <row r="767">
      <c r="E767" s="69"/>
    </row>
    <row r="768">
      <c r="E768" s="69"/>
    </row>
    <row r="769">
      <c r="E769" s="69"/>
    </row>
    <row r="770">
      <c r="E770" s="69"/>
    </row>
    <row r="771">
      <c r="E771" s="69"/>
    </row>
    <row r="772">
      <c r="E772" s="69"/>
    </row>
    <row r="773">
      <c r="E773" s="69"/>
    </row>
    <row r="774">
      <c r="E774" s="69"/>
    </row>
    <row r="775">
      <c r="E775" s="69"/>
    </row>
    <row r="776">
      <c r="E776" s="69"/>
    </row>
    <row r="777">
      <c r="E777" s="69"/>
    </row>
    <row r="778">
      <c r="E778" s="69"/>
    </row>
    <row r="779">
      <c r="E779" s="69"/>
    </row>
    <row r="780">
      <c r="E780" s="69"/>
    </row>
    <row r="781">
      <c r="E781" s="69"/>
    </row>
    <row r="782">
      <c r="E782" s="69"/>
    </row>
    <row r="783">
      <c r="E783" s="69"/>
    </row>
    <row r="784">
      <c r="E784" s="69"/>
    </row>
    <row r="785">
      <c r="E785" s="69"/>
    </row>
    <row r="786">
      <c r="E786" s="69"/>
    </row>
    <row r="787">
      <c r="E787" s="69"/>
    </row>
    <row r="788">
      <c r="E788" s="69"/>
    </row>
    <row r="789">
      <c r="E789" s="69"/>
    </row>
    <row r="790">
      <c r="E790" s="69"/>
    </row>
    <row r="791">
      <c r="E791" s="69"/>
    </row>
    <row r="792">
      <c r="E792" s="69"/>
    </row>
    <row r="793">
      <c r="E793" s="69"/>
    </row>
    <row r="794">
      <c r="E794" s="69"/>
    </row>
    <row r="795">
      <c r="E795" s="69"/>
    </row>
    <row r="796">
      <c r="E796" s="69"/>
    </row>
    <row r="797">
      <c r="E797" s="69"/>
    </row>
    <row r="798">
      <c r="E798" s="69"/>
    </row>
    <row r="799">
      <c r="E799" s="69"/>
    </row>
    <row r="800">
      <c r="E800" s="69"/>
    </row>
    <row r="801">
      <c r="E801" s="69"/>
    </row>
    <row r="802">
      <c r="E802" s="69"/>
    </row>
    <row r="803">
      <c r="E803" s="69"/>
    </row>
    <row r="804">
      <c r="E804" s="69"/>
    </row>
    <row r="805">
      <c r="E805" s="69"/>
    </row>
    <row r="806">
      <c r="E806" s="69"/>
    </row>
    <row r="807">
      <c r="E807" s="69"/>
    </row>
    <row r="808">
      <c r="E808" s="69"/>
    </row>
    <row r="809">
      <c r="E809" s="69"/>
    </row>
    <row r="810">
      <c r="E810" s="69"/>
    </row>
    <row r="811">
      <c r="E811" s="69"/>
    </row>
    <row r="812">
      <c r="E812" s="69"/>
    </row>
    <row r="813">
      <c r="E813" s="69"/>
    </row>
    <row r="814">
      <c r="E814" s="69"/>
    </row>
    <row r="815">
      <c r="E815" s="69"/>
    </row>
    <row r="816">
      <c r="E816" s="69"/>
    </row>
    <row r="817">
      <c r="E817" s="69"/>
    </row>
    <row r="818">
      <c r="E818" s="69"/>
    </row>
    <row r="819">
      <c r="E819" s="69"/>
    </row>
    <row r="820">
      <c r="E820" s="69"/>
    </row>
    <row r="821">
      <c r="E821" s="69"/>
    </row>
    <row r="822">
      <c r="E822" s="69"/>
    </row>
    <row r="823">
      <c r="E823" s="69"/>
    </row>
    <row r="824">
      <c r="E824" s="69"/>
    </row>
    <row r="825">
      <c r="E825" s="69"/>
    </row>
    <row r="826">
      <c r="E826" s="69"/>
    </row>
    <row r="827">
      <c r="E827" s="69"/>
    </row>
    <row r="828">
      <c r="E828" s="69"/>
    </row>
    <row r="829">
      <c r="E829" s="69"/>
    </row>
    <row r="830">
      <c r="E830" s="69"/>
    </row>
    <row r="831">
      <c r="E831" s="69"/>
    </row>
    <row r="832">
      <c r="E832" s="69"/>
    </row>
    <row r="833">
      <c r="E833" s="69"/>
    </row>
    <row r="834">
      <c r="E834" s="69"/>
    </row>
    <row r="835">
      <c r="E835" s="69"/>
    </row>
    <row r="836">
      <c r="E836" s="69"/>
    </row>
    <row r="837">
      <c r="E837" s="69"/>
    </row>
    <row r="838">
      <c r="E838" s="69"/>
    </row>
    <row r="839">
      <c r="E839" s="69"/>
    </row>
    <row r="840">
      <c r="E840" s="69"/>
    </row>
    <row r="841">
      <c r="E841" s="69"/>
    </row>
    <row r="842">
      <c r="E842" s="69"/>
    </row>
    <row r="843">
      <c r="E843" s="69"/>
    </row>
    <row r="844">
      <c r="E844" s="69"/>
    </row>
    <row r="845">
      <c r="E845" s="69"/>
    </row>
    <row r="846">
      <c r="E846" s="69"/>
    </row>
    <row r="847">
      <c r="E847" s="69"/>
    </row>
    <row r="848">
      <c r="E848" s="69"/>
    </row>
    <row r="849">
      <c r="E849" s="69"/>
    </row>
    <row r="850">
      <c r="E850" s="69"/>
    </row>
    <row r="851">
      <c r="E851" s="69"/>
    </row>
    <row r="852">
      <c r="E852" s="69"/>
    </row>
    <row r="853">
      <c r="E853" s="69"/>
    </row>
    <row r="854">
      <c r="E854" s="69"/>
    </row>
    <row r="855">
      <c r="E855" s="69"/>
    </row>
    <row r="856">
      <c r="E856" s="69"/>
    </row>
    <row r="857">
      <c r="E857" s="69"/>
    </row>
    <row r="858">
      <c r="E858" s="69"/>
    </row>
    <row r="859">
      <c r="E859" s="69"/>
    </row>
    <row r="860">
      <c r="E860" s="69"/>
    </row>
    <row r="861">
      <c r="E861" s="69"/>
    </row>
    <row r="862">
      <c r="E862" s="69"/>
    </row>
    <row r="863">
      <c r="E863" s="69"/>
    </row>
    <row r="864">
      <c r="E864" s="69"/>
    </row>
    <row r="865">
      <c r="E865" s="69"/>
    </row>
    <row r="866">
      <c r="E866" s="69"/>
    </row>
    <row r="867">
      <c r="E867" s="69"/>
    </row>
    <row r="868">
      <c r="E868" s="69"/>
    </row>
    <row r="869">
      <c r="E869" s="69"/>
    </row>
    <row r="870">
      <c r="E870" s="69"/>
    </row>
    <row r="871">
      <c r="E871" s="69"/>
    </row>
    <row r="872">
      <c r="E872" s="69"/>
    </row>
    <row r="873">
      <c r="E873" s="69"/>
    </row>
    <row r="874">
      <c r="E874" s="69"/>
    </row>
    <row r="875">
      <c r="E875" s="69"/>
    </row>
    <row r="876">
      <c r="E876" s="69"/>
    </row>
    <row r="877">
      <c r="E877" s="69"/>
    </row>
    <row r="878">
      <c r="E878" s="69"/>
    </row>
    <row r="879">
      <c r="E879" s="69"/>
    </row>
    <row r="880">
      <c r="E880" s="69"/>
    </row>
    <row r="881">
      <c r="E881" s="69"/>
    </row>
    <row r="882">
      <c r="E882" s="69"/>
    </row>
    <row r="883">
      <c r="E883" s="69"/>
    </row>
    <row r="884">
      <c r="E884" s="69"/>
    </row>
    <row r="885">
      <c r="E885" s="69"/>
    </row>
    <row r="886">
      <c r="E886" s="69"/>
    </row>
    <row r="887">
      <c r="E887" s="69"/>
    </row>
    <row r="888">
      <c r="E888" s="69"/>
    </row>
    <row r="889">
      <c r="E889" s="69"/>
    </row>
    <row r="890">
      <c r="E890" s="69"/>
    </row>
    <row r="891">
      <c r="E891" s="69"/>
    </row>
    <row r="892">
      <c r="E892" s="69"/>
    </row>
    <row r="893">
      <c r="E893" s="69"/>
    </row>
    <row r="894">
      <c r="E894" s="69"/>
    </row>
    <row r="895">
      <c r="E895" s="69"/>
    </row>
    <row r="896">
      <c r="E896" s="69"/>
    </row>
    <row r="897">
      <c r="E897" s="69"/>
    </row>
    <row r="898">
      <c r="E898" s="69"/>
    </row>
    <row r="899">
      <c r="E899" s="69"/>
    </row>
    <row r="900">
      <c r="E900" s="69"/>
    </row>
    <row r="901">
      <c r="E901" s="69"/>
    </row>
    <row r="902">
      <c r="E902" s="69"/>
    </row>
    <row r="903">
      <c r="E903" s="69"/>
    </row>
    <row r="904">
      <c r="E904" s="69"/>
    </row>
    <row r="905">
      <c r="E905" s="69"/>
    </row>
    <row r="906">
      <c r="E906" s="69"/>
    </row>
    <row r="907">
      <c r="E907" s="69"/>
    </row>
    <row r="908">
      <c r="E908" s="69"/>
    </row>
    <row r="909">
      <c r="E909" s="69"/>
    </row>
    <row r="910">
      <c r="E910" s="69"/>
    </row>
    <row r="911">
      <c r="E911" s="69"/>
    </row>
    <row r="912">
      <c r="E912" s="69"/>
    </row>
    <row r="913">
      <c r="E913" s="69"/>
    </row>
    <row r="914">
      <c r="E914" s="69"/>
    </row>
    <row r="915">
      <c r="E915" s="69"/>
    </row>
    <row r="916">
      <c r="E916" s="69"/>
    </row>
    <row r="917">
      <c r="E917" s="69"/>
    </row>
    <row r="918">
      <c r="E918" s="69"/>
    </row>
    <row r="919">
      <c r="E919" s="69"/>
    </row>
    <row r="920">
      <c r="E920" s="69"/>
    </row>
    <row r="921">
      <c r="E921" s="69"/>
    </row>
    <row r="922">
      <c r="E922" s="69"/>
    </row>
    <row r="923">
      <c r="E923" s="69"/>
    </row>
    <row r="924">
      <c r="E924" s="69"/>
    </row>
    <row r="925">
      <c r="E925" s="69"/>
    </row>
    <row r="926">
      <c r="E926" s="69"/>
    </row>
    <row r="927">
      <c r="E927" s="69"/>
    </row>
    <row r="928">
      <c r="E928" s="69"/>
    </row>
    <row r="929">
      <c r="E929" s="69"/>
    </row>
    <row r="930">
      <c r="E930" s="69"/>
    </row>
    <row r="931">
      <c r="E931" s="69"/>
    </row>
    <row r="932">
      <c r="E932" s="69"/>
    </row>
    <row r="933">
      <c r="E933" s="69"/>
    </row>
    <row r="934">
      <c r="E934" s="69"/>
    </row>
    <row r="935">
      <c r="E935" s="69"/>
    </row>
    <row r="936">
      <c r="E936" s="69"/>
    </row>
    <row r="937">
      <c r="E937" s="69"/>
    </row>
    <row r="938">
      <c r="E938" s="69"/>
    </row>
    <row r="939">
      <c r="E939" s="69"/>
    </row>
    <row r="940">
      <c r="E940" s="69"/>
    </row>
    <row r="941">
      <c r="E941" s="69"/>
    </row>
    <row r="942">
      <c r="E942" s="69"/>
    </row>
    <row r="943">
      <c r="E943" s="69"/>
    </row>
    <row r="944">
      <c r="E944" s="69"/>
    </row>
    <row r="945">
      <c r="E945" s="69"/>
    </row>
    <row r="946">
      <c r="E946" s="69"/>
    </row>
    <row r="947">
      <c r="E947" s="69"/>
    </row>
    <row r="948">
      <c r="E948" s="69"/>
    </row>
    <row r="949">
      <c r="E949" s="69"/>
    </row>
    <row r="950">
      <c r="E950" s="69"/>
    </row>
    <row r="951">
      <c r="E951" s="69"/>
    </row>
    <row r="952">
      <c r="E952" s="69"/>
    </row>
    <row r="953">
      <c r="E953" s="69"/>
    </row>
    <row r="954">
      <c r="E954" s="69"/>
    </row>
    <row r="955">
      <c r="E955" s="69"/>
    </row>
    <row r="956">
      <c r="E956" s="69"/>
    </row>
    <row r="957">
      <c r="E957" s="69"/>
    </row>
    <row r="958">
      <c r="E958" s="69"/>
    </row>
    <row r="959">
      <c r="E959" s="69"/>
    </row>
    <row r="960">
      <c r="E960" s="69"/>
    </row>
    <row r="961">
      <c r="E961" s="69"/>
    </row>
    <row r="962">
      <c r="E962" s="69"/>
    </row>
    <row r="963">
      <c r="E963" s="69"/>
    </row>
    <row r="964">
      <c r="E964" s="69"/>
    </row>
    <row r="965">
      <c r="E965" s="69"/>
    </row>
    <row r="966">
      <c r="E966" s="69"/>
    </row>
    <row r="967">
      <c r="E967" s="69"/>
    </row>
    <row r="968">
      <c r="E968" s="69"/>
    </row>
    <row r="969">
      <c r="E969" s="69"/>
    </row>
    <row r="970">
      <c r="E970" s="69"/>
    </row>
    <row r="971">
      <c r="E971" s="69"/>
    </row>
    <row r="972">
      <c r="E972" s="69"/>
    </row>
    <row r="973">
      <c r="E973" s="69"/>
    </row>
    <row r="974">
      <c r="E974" s="69"/>
    </row>
    <row r="975">
      <c r="E975" s="69"/>
    </row>
    <row r="976">
      <c r="E976" s="69"/>
    </row>
    <row r="977">
      <c r="E977" s="69"/>
    </row>
    <row r="978">
      <c r="E978" s="69"/>
    </row>
    <row r="979">
      <c r="E979" s="69"/>
    </row>
  </sheetData>
  <mergeCells count="9">
    <mergeCell ref="A58:A60"/>
    <mergeCell ref="A61:A85"/>
    <mergeCell ref="A1:B1"/>
    <mergeCell ref="A33:B33"/>
    <mergeCell ref="A35:A40"/>
    <mergeCell ref="A41:A44"/>
    <mergeCell ref="A45:A46"/>
    <mergeCell ref="A47:A53"/>
    <mergeCell ref="A55:A57"/>
  </mergeCells>
  <conditionalFormatting sqref="D3:E30">
    <cfRule type="cellIs" dxfId="7" priority="1" operator="equal">
      <formula>"No"</formula>
    </cfRule>
  </conditionalFormatting>
  <conditionalFormatting sqref="D3:E30">
    <cfRule type="cellIs" dxfId="8" priority="2" operator="equal">
      <formula>"Yes"</formula>
    </cfRule>
  </conditionalFormatting>
  <dataValidations>
    <dataValidation type="list" allowBlank="1" showErrorMessage="1" sqref="D3:E30">
      <formula1>"Yes,No"</formula1>
    </dataValidation>
    <dataValidation type="list" allowBlank="1" showErrorMessage="1" sqref="C3:C30">
      <formula1>"Not Started,In Progress,Under Review,Completed"</formula1>
    </dataValidation>
  </dataValidations>
  <hyperlinks>
    <hyperlink r:id="rId4" ref="E35"/>
    <hyperlink r:id="rId5" ref="E36"/>
    <hyperlink r:id="rId6" ref="E37"/>
    <hyperlink r:id="rId7" ref="E38"/>
    <hyperlink r:id="rId8" ref="E39"/>
    <hyperlink r:id="rId9" ref="E40"/>
    <hyperlink r:id="rId10" ref="E41"/>
    <hyperlink r:id="rId11" ref="E42"/>
    <hyperlink r:id="rId12" ref="E43"/>
    <hyperlink r:id="rId13" ref="E44"/>
    <hyperlink r:id="rId14" ref="E45"/>
    <hyperlink r:id="rId15" ref="E46"/>
    <hyperlink r:id="rId16" ref="E47"/>
    <hyperlink r:id="rId17" ref="E48"/>
    <hyperlink r:id="rId18" ref="E49"/>
    <hyperlink r:id="rId19" ref="E50"/>
    <hyperlink r:id="rId20" ref="E51"/>
    <hyperlink r:id="rId21" ref="E52"/>
    <hyperlink r:id="rId22" ref="E53"/>
    <hyperlink r:id="rId23" ref="E54"/>
    <hyperlink r:id="rId24" ref="E55"/>
    <hyperlink r:id="rId25" ref="E56"/>
    <hyperlink r:id="rId26" ref="E57"/>
    <hyperlink r:id="rId27" ref="E58"/>
    <hyperlink r:id="rId28" ref="E59"/>
    <hyperlink r:id="rId29" ref="E60"/>
    <hyperlink r:id="rId30" location="available-database-templates" ref="E61"/>
    <hyperlink r:id="rId31" location="available-database-templates" ref="E62"/>
    <hyperlink r:id="rId32" location="available-database-templates" ref="E63"/>
    <hyperlink r:id="rId33" location="available-database-templates" ref="E64"/>
    <hyperlink r:id="rId34" location="available-database-templates" ref="E65"/>
    <hyperlink r:id="rId35" location="available-database-templates" ref="E66"/>
    <hyperlink r:id="rId36" location="available-database-templates" ref="E67"/>
    <hyperlink r:id="rId37" location="available-database-templates" ref="E68"/>
    <hyperlink r:id="rId38" location="available-database-templates" ref="E69"/>
    <hyperlink r:id="rId39" location="available-database-templates" ref="E70"/>
    <hyperlink r:id="rId40" location="available-database-templates" ref="E71"/>
    <hyperlink r:id="rId41" location="available-database-templates" ref="E72"/>
    <hyperlink r:id="rId42" location="available-database-templates" ref="E73"/>
    <hyperlink r:id="rId43" location="available-database-templates" ref="E74"/>
    <hyperlink r:id="rId44" location="available-database-templates" ref="E75"/>
    <hyperlink r:id="rId45" location="available-database-templates" ref="E76"/>
    <hyperlink r:id="rId46" location="available-database-templates" ref="E77"/>
    <hyperlink r:id="rId47" location="available-database-templates" ref="E78"/>
    <hyperlink r:id="rId48" location="available-database-templates" ref="E79"/>
    <hyperlink r:id="rId49" location="available-database-templates" ref="E80"/>
    <hyperlink r:id="rId50" location="available-database-templates" ref="E81"/>
    <hyperlink r:id="rId51" location="available-database-templates" ref="E82"/>
    <hyperlink r:id="rId52" location="available-database-templates" ref="E83"/>
    <hyperlink r:id="rId53" location="available-database-templates" ref="E84"/>
    <hyperlink r:id="rId54" location="available-database-templates" ref="E85"/>
  </hyperlinks>
  <drawing r:id="rId55"/>
  <legacyDrawing r:id="rId56"/>
  <tableParts count="1">
    <tablePart r:id="rId5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9994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19.25"/>
    <col customWidth="1" min="3" max="3" width="43.63"/>
    <col customWidth="1" min="4" max="4" width="52.63"/>
    <col customWidth="1" min="5" max="5" width="44.25"/>
    <col customWidth="1" min="6" max="7" width="24.63"/>
    <col customWidth="1" min="8" max="8" width="16.38"/>
    <col customWidth="1" min="9" max="9" width="8.63"/>
    <col customWidth="1" min="10" max="10" width="13.13"/>
    <col customWidth="1" min="11" max="11" width="24.63"/>
  </cols>
  <sheetData>
    <row r="1">
      <c r="A1" s="70" t="s">
        <v>364</v>
      </c>
      <c r="B1" s="70" t="s">
        <v>365</v>
      </c>
      <c r="C1" s="71" t="s">
        <v>366</v>
      </c>
      <c r="D1" s="70" t="s">
        <v>367</v>
      </c>
      <c r="E1" s="70" t="s">
        <v>368</v>
      </c>
      <c r="F1" s="70" t="s">
        <v>248</v>
      </c>
      <c r="G1" s="70" t="s">
        <v>369</v>
      </c>
      <c r="H1" s="70" t="s">
        <v>6</v>
      </c>
      <c r="I1" s="70" t="s">
        <v>6</v>
      </c>
      <c r="J1" s="70" t="s">
        <v>250</v>
      </c>
      <c r="K1" s="71" t="s">
        <v>370</v>
      </c>
    </row>
    <row r="2">
      <c r="A2" s="72" t="s">
        <v>251</v>
      </c>
      <c r="B2" s="73" t="s">
        <v>251</v>
      </c>
      <c r="C2" s="74" t="s">
        <v>371</v>
      </c>
      <c r="D2" s="73" t="s">
        <v>372</v>
      </c>
      <c r="E2" s="75" t="s">
        <v>373</v>
      </c>
      <c r="F2" s="75" t="s">
        <v>252</v>
      </c>
      <c r="G2" s="75"/>
      <c r="H2" s="73" t="s">
        <v>253</v>
      </c>
      <c r="I2" s="76"/>
      <c r="J2" s="76"/>
      <c r="K2" s="77" t="s">
        <v>374</v>
      </c>
    </row>
    <row r="3">
      <c r="A3" s="72" t="s">
        <v>375</v>
      </c>
      <c r="B3" s="73" t="s">
        <v>375</v>
      </c>
      <c r="C3" s="74" t="s">
        <v>376</v>
      </c>
      <c r="D3" s="73" t="s">
        <v>377</v>
      </c>
      <c r="E3" s="75" t="s">
        <v>378</v>
      </c>
      <c r="F3" s="75" t="s">
        <v>265</v>
      </c>
      <c r="G3" s="75"/>
      <c r="H3" s="73" t="s">
        <v>14</v>
      </c>
      <c r="I3" s="78"/>
      <c r="J3" s="78"/>
      <c r="K3" s="79" t="s">
        <v>379</v>
      </c>
    </row>
    <row r="4">
      <c r="A4" s="72" t="s">
        <v>208</v>
      </c>
      <c r="B4" s="73" t="s">
        <v>208</v>
      </c>
      <c r="C4" s="74" t="s">
        <v>380</v>
      </c>
      <c r="D4" s="73" t="s">
        <v>381</v>
      </c>
      <c r="E4" s="75" t="s">
        <v>382</v>
      </c>
      <c r="F4" s="75" t="s">
        <v>281</v>
      </c>
      <c r="G4" s="75"/>
      <c r="H4" s="73" t="s">
        <v>253</v>
      </c>
      <c r="I4" s="80"/>
      <c r="J4" s="80"/>
      <c r="K4" s="81" t="s">
        <v>383</v>
      </c>
    </row>
    <row r="5">
      <c r="A5" s="72" t="s">
        <v>384</v>
      </c>
      <c r="B5" s="72" t="s">
        <v>384</v>
      </c>
      <c r="C5" s="74" t="s">
        <v>385</v>
      </c>
      <c r="D5" s="73" t="s">
        <v>386</v>
      </c>
      <c r="E5" s="75" t="s">
        <v>387</v>
      </c>
      <c r="F5" s="75" t="s">
        <v>277</v>
      </c>
      <c r="G5" s="75"/>
      <c r="H5" s="73" t="s">
        <v>253</v>
      </c>
      <c r="I5" s="78"/>
      <c r="J5" s="78"/>
      <c r="K5" s="79" t="s">
        <v>388</v>
      </c>
    </row>
    <row r="6">
      <c r="A6" s="72" t="s">
        <v>172</v>
      </c>
      <c r="B6" s="73" t="s">
        <v>268</v>
      </c>
      <c r="C6" s="74" t="s">
        <v>389</v>
      </c>
      <c r="D6" s="73" t="s">
        <v>390</v>
      </c>
      <c r="E6" s="75" t="s">
        <v>382</v>
      </c>
      <c r="F6" s="75" t="s">
        <v>269</v>
      </c>
      <c r="G6" s="75"/>
      <c r="H6" s="73" t="s">
        <v>282</v>
      </c>
      <c r="I6" s="80"/>
      <c r="J6" s="80"/>
      <c r="K6" s="81" t="s">
        <v>391</v>
      </c>
    </row>
    <row r="7">
      <c r="A7" s="72" t="s">
        <v>113</v>
      </c>
      <c r="B7" s="73" t="s">
        <v>113</v>
      </c>
      <c r="C7" s="74" t="s">
        <v>392</v>
      </c>
      <c r="D7" s="73" t="s">
        <v>393</v>
      </c>
      <c r="E7" s="75" t="s">
        <v>394</v>
      </c>
      <c r="F7" s="75"/>
      <c r="G7" s="75"/>
      <c r="H7" s="73"/>
      <c r="I7" s="78"/>
      <c r="J7" s="78"/>
      <c r="K7" s="79" t="s">
        <v>395</v>
      </c>
    </row>
    <row r="8">
      <c r="A8" s="72" t="s">
        <v>271</v>
      </c>
      <c r="B8" s="72" t="s">
        <v>271</v>
      </c>
      <c r="C8" s="74" t="s">
        <v>396</v>
      </c>
      <c r="D8" s="73" t="s">
        <v>397</v>
      </c>
      <c r="E8" s="75" t="s">
        <v>398</v>
      </c>
      <c r="F8" s="75"/>
      <c r="G8" s="75"/>
      <c r="H8" s="73"/>
      <c r="I8" s="80"/>
      <c r="J8" s="80"/>
      <c r="K8" s="81" t="s">
        <v>399</v>
      </c>
    </row>
    <row r="9">
      <c r="A9" s="72" t="s">
        <v>400</v>
      </c>
      <c r="B9" s="72" t="s">
        <v>401</v>
      </c>
      <c r="C9" s="74" t="s">
        <v>402</v>
      </c>
      <c r="D9" s="73" t="s">
        <v>403</v>
      </c>
      <c r="E9" s="75" t="s">
        <v>404</v>
      </c>
      <c r="F9" s="82" t="s">
        <v>405</v>
      </c>
      <c r="G9" s="75"/>
      <c r="H9" s="73"/>
      <c r="I9" s="78"/>
      <c r="J9" s="78"/>
      <c r="K9" s="79" t="s">
        <v>406</v>
      </c>
    </row>
    <row r="10">
      <c r="A10" s="72" t="s">
        <v>407</v>
      </c>
      <c r="B10" s="73" t="s">
        <v>407</v>
      </c>
      <c r="C10" s="74" t="s">
        <v>408</v>
      </c>
      <c r="D10" s="73" t="s">
        <v>409</v>
      </c>
      <c r="E10" s="75" t="s">
        <v>410</v>
      </c>
      <c r="F10" s="75"/>
      <c r="G10" s="75"/>
      <c r="H10" s="73"/>
      <c r="I10" s="80"/>
      <c r="J10" s="80"/>
      <c r="K10" s="81" t="s">
        <v>411</v>
      </c>
    </row>
    <row r="11">
      <c r="A11" s="72" t="s">
        <v>412</v>
      </c>
      <c r="B11" s="72" t="s">
        <v>64</v>
      </c>
      <c r="C11" s="74" t="s">
        <v>413</v>
      </c>
      <c r="D11" s="73" t="s">
        <v>414</v>
      </c>
      <c r="E11" s="75" t="s">
        <v>415</v>
      </c>
      <c r="F11" s="75"/>
      <c r="G11" s="75"/>
      <c r="H11" s="73"/>
      <c r="I11" s="78"/>
      <c r="J11" s="78"/>
      <c r="K11" s="79" t="s">
        <v>416</v>
      </c>
    </row>
    <row r="12">
      <c r="A12" s="72" t="s">
        <v>417</v>
      </c>
      <c r="B12" s="73" t="s">
        <v>418</v>
      </c>
      <c r="C12" s="74" t="s">
        <v>419</v>
      </c>
      <c r="D12" s="73" t="s">
        <v>420</v>
      </c>
      <c r="E12" s="75" t="s">
        <v>421</v>
      </c>
      <c r="F12" s="75"/>
      <c r="G12" s="75"/>
      <c r="H12" s="73"/>
      <c r="I12" s="80"/>
      <c r="J12" s="80"/>
      <c r="K12" s="81" t="s">
        <v>422</v>
      </c>
    </row>
    <row r="13">
      <c r="A13" s="72" t="s">
        <v>270</v>
      </c>
      <c r="B13" s="73" t="s">
        <v>423</v>
      </c>
      <c r="C13" s="74" t="s">
        <v>424</v>
      </c>
      <c r="D13" s="73" t="s">
        <v>425</v>
      </c>
      <c r="E13" s="75" t="s">
        <v>426</v>
      </c>
      <c r="F13" s="75"/>
      <c r="G13" s="75"/>
      <c r="H13" s="73"/>
      <c r="I13" s="78"/>
      <c r="J13" s="78"/>
      <c r="K13" s="79" t="s">
        <v>427</v>
      </c>
    </row>
    <row r="14">
      <c r="A14" s="72" t="s">
        <v>193</v>
      </c>
      <c r="B14" s="73" t="s">
        <v>428</v>
      </c>
      <c r="C14" s="74" t="s">
        <v>429</v>
      </c>
      <c r="D14" s="73" t="s">
        <v>430</v>
      </c>
      <c r="E14" s="75"/>
      <c r="F14" s="75" t="s">
        <v>431</v>
      </c>
      <c r="G14" s="82" t="s">
        <v>192</v>
      </c>
      <c r="H14" s="73" t="s">
        <v>25</v>
      </c>
      <c r="I14" s="80"/>
      <c r="J14" s="80" t="s">
        <v>254</v>
      </c>
      <c r="K14" s="81" t="s">
        <v>432</v>
      </c>
    </row>
    <row r="15">
      <c r="A15" s="72" t="s">
        <v>433</v>
      </c>
      <c r="B15" s="73" t="s">
        <v>434</v>
      </c>
      <c r="C15" s="74" t="s">
        <v>435</v>
      </c>
      <c r="D15" s="73" t="s">
        <v>436</v>
      </c>
      <c r="E15" s="75" t="s">
        <v>437</v>
      </c>
      <c r="F15" s="75"/>
      <c r="G15" s="75"/>
      <c r="H15" s="73"/>
      <c r="I15" s="78"/>
      <c r="J15" s="78"/>
      <c r="K15" s="79" t="s">
        <v>438</v>
      </c>
    </row>
    <row r="16">
      <c r="A16" s="72" t="s">
        <v>439</v>
      </c>
      <c r="B16" s="73" t="s">
        <v>440</v>
      </c>
      <c r="C16" s="74" t="s">
        <v>441</v>
      </c>
      <c r="D16" s="73" t="s">
        <v>442</v>
      </c>
      <c r="E16" s="75" t="s">
        <v>443</v>
      </c>
      <c r="F16" s="75"/>
      <c r="G16" s="75"/>
      <c r="H16" s="73"/>
      <c r="I16" s="80"/>
      <c r="J16" s="80"/>
      <c r="K16" s="81" t="s">
        <v>444</v>
      </c>
    </row>
    <row r="17">
      <c r="A17" s="72" t="s">
        <v>445</v>
      </c>
      <c r="B17" s="73" t="s">
        <v>446</v>
      </c>
      <c r="C17" s="74" t="s">
        <v>447</v>
      </c>
      <c r="D17" s="73" t="s">
        <v>448</v>
      </c>
      <c r="E17" s="75" t="s">
        <v>449</v>
      </c>
      <c r="F17" s="75"/>
      <c r="G17" s="75"/>
      <c r="H17" s="73"/>
      <c r="I17" s="78"/>
      <c r="J17" s="78"/>
      <c r="K17" s="79" t="s">
        <v>450</v>
      </c>
    </row>
    <row r="18">
      <c r="A18" s="72" t="s">
        <v>256</v>
      </c>
      <c r="B18" s="73" t="s">
        <v>256</v>
      </c>
      <c r="C18" s="74" t="s">
        <v>451</v>
      </c>
      <c r="D18" s="73" t="s">
        <v>452</v>
      </c>
      <c r="E18" s="75" t="s">
        <v>453</v>
      </c>
      <c r="F18" s="75"/>
      <c r="G18" s="75"/>
      <c r="H18" s="73"/>
      <c r="I18" s="80"/>
      <c r="J18" s="80"/>
      <c r="K18" s="81" t="s">
        <v>454</v>
      </c>
    </row>
    <row r="19">
      <c r="A19" s="72" t="s">
        <v>164</v>
      </c>
      <c r="B19" s="73" t="s">
        <v>164</v>
      </c>
      <c r="C19" s="74" t="s">
        <v>455</v>
      </c>
      <c r="D19" s="73" t="s">
        <v>456</v>
      </c>
      <c r="E19" s="75" t="s">
        <v>457</v>
      </c>
      <c r="F19" s="75"/>
      <c r="G19" s="75"/>
      <c r="H19" s="73"/>
      <c r="I19" s="78"/>
      <c r="J19" s="78"/>
      <c r="K19" s="79" t="s">
        <v>458</v>
      </c>
    </row>
    <row r="20">
      <c r="A20" s="72" t="s">
        <v>459</v>
      </c>
      <c r="B20" s="73" t="s">
        <v>460</v>
      </c>
      <c r="C20" s="74" t="s">
        <v>461</v>
      </c>
      <c r="D20" s="73" t="s">
        <v>462</v>
      </c>
      <c r="E20" s="75" t="s">
        <v>463</v>
      </c>
      <c r="F20" s="75"/>
      <c r="G20" s="75"/>
      <c r="H20" s="73"/>
      <c r="I20" s="80"/>
      <c r="J20" s="80"/>
      <c r="K20" s="81" t="s">
        <v>464</v>
      </c>
    </row>
    <row r="21">
      <c r="A21" s="72" t="s">
        <v>465</v>
      </c>
      <c r="B21" s="73" t="s">
        <v>465</v>
      </c>
      <c r="C21" s="74" t="s">
        <v>466</v>
      </c>
      <c r="D21" s="73" t="s">
        <v>467</v>
      </c>
      <c r="E21" s="75" t="s">
        <v>468</v>
      </c>
      <c r="F21" s="75"/>
      <c r="G21" s="75"/>
      <c r="H21" s="73"/>
      <c r="I21" s="78"/>
      <c r="J21" s="78"/>
      <c r="K21" s="79" t="s">
        <v>469</v>
      </c>
    </row>
    <row r="22">
      <c r="A22" s="72" t="s">
        <v>274</v>
      </c>
      <c r="B22" s="73" t="s">
        <v>274</v>
      </c>
      <c r="C22" s="74" t="s">
        <v>470</v>
      </c>
      <c r="D22" s="73" t="s">
        <v>471</v>
      </c>
      <c r="E22" s="75" t="s">
        <v>472</v>
      </c>
      <c r="F22" s="75"/>
      <c r="G22" s="75"/>
      <c r="H22" s="73"/>
      <c r="I22" s="80"/>
      <c r="J22" s="80"/>
      <c r="K22" s="81" t="s">
        <v>473</v>
      </c>
    </row>
    <row r="23">
      <c r="A23" s="72" t="s">
        <v>474</v>
      </c>
      <c r="B23" s="73" t="s">
        <v>475</v>
      </c>
      <c r="C23" s="74" t="s">
        <v>476</v>
      </c>
      <c r="D23" s="73" t="s">
        <v>477</v>
      </c>
      <c r="E23" s="75" t="s">
        <v>382</v>
      </c>
      <c r="F23" s="75"/>
      <c r="G23" s="75"/>
      <c r="H23" s="73"/>
      <c r="I23" s="78"/>
      <c r="J23" s="78"/>
      <c r="K23" s="79" t="s">
        <v>478</v>
      </c>
    </row>
    <row r="24">
      <c r="A24" s="72" t="s">
        <v>479</v>
      </c>
      <c r="B24" s="73" t="s">
        <v>480</v>
      </c>
      <c r="C24" s="74" t="s">
        <v>481</v>
      </c>
      <c r="D24" s="73" t="s">
        <v>482</v>
      </c>
      <c r="E24" s="75" t="s">
        <v>382</v>
      </c>
      <c r="F24" s="75"/>
      <c r="G24" s="75"/>
      <c r="H24" s="73"/>
      <c r="I24" s="80"/>
      <c r="J24" s="80"/>
      <c r="K24" s="81" t="s">
        <v>483</v>
      </c>
    </row>
    <row r="25">
      <c r="A25" s="72" t="s">
        <v>484</v>
      </c>
      <c r="B25" s="73" t="s">
        <v>485</v>
      </c>
      <c r="C25" s="25" t="s">
        <v>486</v>
      </c>
      <c r="K25" s="79" t="s">
        <v>487</v>
      </c>
    </row>
    <row r="26">
      <c r="A26" s="72" t="s">
        <v>156</v>
      </c>
      <c r="B26" s="73" t="s">
        <v>156</v>
      </c>
      <c r="C26" s="74" t="s">
        <v>488</v>
      </c>
      <c r="D26" s="73" t="s">
        <v>489</v>
      </c>
      <c r="E26" s="75" t="s">
        <v>490</v>
      </c>
      <c r="F26" s="75"/>
      <c r="G26" s="75"/>
      <c r="H26" s="73"/>
      <c r="I26" s="80"/>
      <c r="J26" s="80"/>
      <c r="K26" s="81" t="s">
        <v>491</v>
      </c>
    </row>
    <row r="27">
      <c r="A27" s="72" t="s">
        <v>257</v>
      </c>
      <c r="B27" s="73" t="s">
        <v>257</v>
      </c>
      <c r="C27" s="74" t="s">
        <v>492</v>
      </c>
      <c r="D27" s="73" t="s">
        <v>493</v>
      </c>
      <c r="E27" s="75" t="s">
        <v>494</v>
      </c>
      <c r="F27" s="75"/>
      <c r="G27" s="75"/>
      <c r="H27" s="73"/>
      <c r="I27" s="78"/>
      <c r="J27" s="78"/>
      <c r="K27" s="79" t="s">
        <v>495</v>
      </c>
    </row>
    <row r="28">
      <c r="A28" s="72" t="s">
        <v>496</v>
      </c>
      <c r="B28" s="73" t="s">
        <v>497</v>
      </c>
      <c r="C28" s="74" t="s">
        <v>498</v>
      </c>
      <c r="D28" s="73" t="s">
        <v>499</v>
      </c>
      <c r="E28" s="75" t="s">
        <v>500</v>
      </c>
      <c r="F28" s="75"/>
      <c r="G28" s="75"/>
      <c r="H28" s="73"/>
      <c r="I28" s="80"/>
      <c r="J28" s="80"/>
      <c r="K28" s="81" t="s">
        <v>501</v>
      </c>
    </row>
    <row r="29">
      <c r="A29" s="72" t="s">
        <v>197</v>
      </c>
      <c r="B29" s="73" t="s">
        <v>197</v>
      </c>
      <c r="C29" s="74" t="s">
        <v>502</v>
      </c>
      <c r="D29" s="73" t="s">
        <v>503</v>
      </c>
      <c r="E29" s="75" t="s">
        <v>504</v>
      </c>
      <c r="F29" s="75"/>
      <c r="G29" s="75"/>
      <c r="H29" s="73"/>
      <c r="I29" s="78"/>
      <c r="J29" s="78"/>
      <c r="K29" s="79" t="s">
        <v>505</v>
      </c>
    </row>
    <row r="30">
      <c r="A30" s="72" t="s">
        <v>506</v>
      </c>
      <c r="B30" s="73" t="s">
        <v>506</v>
      </c>
      <c r="C30" s="74" t="s">
        <v>507</v>
      </c>
      <c r="D30" s="73" t="s">
        <v>508</v>
      </c>
      <c r="E30" s="75" t="s">
        <v>382</v>
      </c>
      <c r="F30" s="75"/>
      <c r="G30" s="75"/>
      <c r="H30" s="73"/>
      <c r="I30" s="80"/>
      <c r="J30" s="80"/>
      <c r="K30" s="81" t="s">
        <v>509</v>
      </c>
    </row>
    <row r="31">
      <c r="A31" s="72" t="s">
        <v>510</v>
      </c>
      <c r="B31" s="73" t="s">
        <v>121</v>
      </c>
      <c r="C31" s="74" t="s">
        <v>511</v>
      </c>
      <c r="D31" s="73" t="s">
        <v>512</v>
      </c>
      <c r="E31" s="75" t="s">
        <v>513</v>
      </c>
      <c r="F31" s="75"/>
      <c r="G31" s="75"/>
      <c r="H31" s="73"/>
      <c r="I31" s="78"/>
      <c r="J31" s="78"/>
      <c r="K31" s="79" t="s">
        <v>514</v>
      </c>
    </row>
    <row r="32">
      <c r="A32" s="72" t="s">
        <v>515</v>
      </c>
      <c r="B32" s="73" t="s">
        <v>516</v>
      </c>
      <c r="C32" s="74" t="s">
        <v>517</v>
      </c>
      <c r="D32" s="73" t="s">
        <v>518</v>
      </c>
      <c r="E32" s="75" t="s">
        <v>519</v>
      </c>
      <c r="F32" s="75"/>
      <c r="G32" s="75"/>
      <c r="H32" s="73"/>
      <c r="I32" s="80"/>
      <c r="J32" s="80"/>
      <c r="K32" s="81" t="s">
        <v>520</v>
      </c>
    </row>
    <row r="33">
      <c r="A33" s="72" t="s">
        <v>521</v>
      </c>
      <c r="B33" s="73" t="s">
        <v>521</v>
      </c>
      <c r="C33" s="74" t="s">
        <v>522</v>
      </c>
      <c r="D33" s="73" t="s">
        <v>523</v>
      </c>
      <c r="E33" s="75" t="s">
        <v>524</v>
      </c>
      <c r="F33" s="75"/>
      <c r="G33" s="75"/>
      <c r="H33" s="73"/>
      <c r="I33" s="78"/>
      <c r="J33" s="78"/>
      <c r="K33" s="79" t="s">
        <v>525</v>
      </c>
    </row>
    <row r="34">
      <c r="A34" s="72" t="s">
        <v>526</v>
      </c>
      <c r="B34" s="73" t="s">
        <v>526</v>
      </c>
      <c r="C34" s="74" t="s">
        <v>527</v>
      </c>
      <c r="D34" s="73" t="s">
        <v>528</v>
      </c>
      <c r="E34" s="75" t="s">
        <v>382</v>
      </c>
      <c r="F34" s="75"/>
      <c r="G34" s="75"/>
      <c r="H34" s="73"/>
      <c r="I34" s="80"/>
      <c r="J34" s="80"/>
      <c r="K34" s="81" t="s">
        <v>529</v>
      </c>
    </row>
    <row r="35">
      <c r="A35" s="73" t="s">
        <v>530</v>
      </c>
      <c r="B35" s="73" t="s">
        <v>530</v>
      </c>
      <c r="C35" s="74" t="s">
        <v>531</v>
      </c>
      <c r="D35" s="73" t="s">
        <v>532</v>
      </c>
      <c r="E35" s="75" t="s">
        <v>382</v>
      </c>
      <c r="F35" s="75"/>
      <c r="G35" s="75"/>
      <c r="H35" s="73"/>
      <c r="I35" s="78"/>
      <c r="J35" s="78"/>
      <c r="K35" s="79" t="s">
        <v>533</v>
      </c>
    </row>
    <row r="36">
      <c r="A36" s="73" t="s">
        <v>534</v>
      </c>
      <c r="B36" s="73" t="s">
        <v>535</v>
      </c>
      <c r="C36" s="74" t="s">
        <v>536</v>
      </c>
      <c r="D36" s="73" t="s">
        <v>537</v>
      </c>
      <c r="E36" s="75" t="s">
        <v>538</v>
      </c>
      <c r="F36" s="75"/>
      <c r="G36" s="75"/>
      <c r="H36" s="73"/>
      <c r="I36" s="80"/>
      <c r="J36" s="80"/>
      <c r="K36" s="81" t="s">
        <v>539</v>
      </c>
    </row>
    <row r="37">
      <c r="A37" s="73" t="s">
        <v>540</v>
      </c>
      <c r="B37" s="73" t="s">
        <v>541</v>
      </c>
      <c r="C37" s="74" t="s">
        <v>542</v>
      </c>
      <c r="D37" s="73" t="s">
        <v>543</v>
      </c>
      <c r="E37" s="75" t="s">
        <v>382</v>
      </c>
      <c r="F37" s="75"/>
      <c r="G37" s="75"/>
      <c r="H37" s="73"/>
      <c r="I37" s="78"/>
      <c r="J37" s="78"/>
      <c r="K37" s="79" t="s">
        <v>544</v>
      </c>
    </row>
    <row r="38">
      <c r="A38" s="73" t="s">
        <v>545</v>
      </c>
      <c r="B38" s="73" t="s">
        <v>126</v>
      </c>
      <c r="C38" s="74" t="s">
        <v>546</v>
      </c>
      <c r="D38" s="73" t="s">
        <v>547</v>
      </c>
      <c r="E38" s="75" t="s">
        <v>548</v>
      </c>
      <c r="F38" s="75"/>
      <c r="G38" s="75"/>
      <c r="H38" s="73"/>
      <c r="I38" s="83"/>
      <c r="J38" s="83"/>
      <c r="K38" s="84" t="s">
        <v>549</v>
      </c>
    </row>
    <row r="39">
      <c r="A39" s="73" t="s">
        <v>550</v>
      </c>
      <c r="B39" s="73" t="s">
        <v>551</v>
      </c>
      <c r="C39" s="74" t="s">
        <v>552</v>
      </c>
      <c r="D39" s="73" t="s">
        <v>553</v>
      </c>
      <c r="E39" s="75" t="s">
        <v>382</v>
      </c>
      <c r="F39" s="75"/>
      <c r="G39" s="75"/>
      <c r="H39" s="73"/>
      <c r="I39" s="83"/>
      <c r="J39" s="83"/>
      <c r="K39" s="84" t="s">
        <v>554</v>
      </c>
    </row>
    <row r="40">
      <c r="A40" s="73" t="s">
        <v>555</v>
      </c>
      <c r="B40" s="73" t="s">
        <v>556</v>
      </c>
      <c r="C40" s="74" t="s">
        <v>557</v>
      </c>
      <c r="D40" s="73" t="s">
        <v>558</v>
      </c>
      <c r="E40" s="75" t="s">
        <v>559</v>
      </c>
      <c r="F40" s="75"/>
      <c r="G40" s="75"/>
      <c r="H40" s="73"/>
      <c r="I40" s="83"/>
      <c r="J40" s="83"/>
      <c r="K40" s="84" t="s">
        <v>560</v>
      </c>
    </row>
    <row r="41">
      <c r="A41" s="73" t="s">
        <v>561</v>
      </c>
      <c r="B41" s="73" t="s">
        <v>562</v>
      </c>
      <c r="C41" s="73" t="s">
        <v>563</v>
      </c>
      <c r="D41" s="73" t="s">
        <v>564</v>
      </c>
      <c r="E41" s="73" t="s">
        <v>382</v>
      </c>
      <c r="F41" s="73" t="s">
        <v>382</v>
      </c>
      <c r="G41" s="73" t="s">
        <v>382</v>
      </c>
      <c r="H41" s="73"/>
      <c r="I41" s="83"/>
      <c r="J41" s="83"/>
      <c r="K41" s="73" t="s">
        <v>565</v>
      </c>
    </row>
    <row r="42" hidden="1">
      <c r="A42" s="85"/>
      <c r="B42" s="85"/>
      <c r="C42" s="86"/>
      <c r="D42" s="85"/>
      <c r="E42" s="87"/>
      <c r="F42" s="87"/>
      <c r="H42" s="85"/>
      <c r="I42" s="88"/>
      <c r="J42" s="88"/>
      <c r="K42" s="89"/>
    </row>
    <row r="43" hidden="1">
      <c r="A43" s="85"/>
      <c r="B43" s="85"/>
      <c r="C43" s="86"/>
      <c r="D43" s="85"/>
      <c r="E43" s="87"/>
      <c r="F43" s="87"/>
      <c r="H43" s="85"/>
      <c r="I43" s="88"/>
      <c r="J43" s="88"/>
      <c r="K43" s="89"/>
    </row>
    <row r="44" hidden="1">
      <c r="A44" s="85"/>
      <c r="B44" s="85"/>
      <c r="C44" s="86"/>
      <c r="D44" s="85"/>
      <c r="E44" s="87"/>
      <c r="F44" s="87"/>
      <c r="H44" s="85"/>
      <c r="I44" s="88"/>
      <c r="J44" s="88"/>
      <c r="K44" s="89"/>
    </row>
    <row r="45" hidden="1">
      <c r="A45" s="85"/>
      <c r="B45" s="85"/>
      <c r="C45" s="86"/>
      <c r="D45" s="85"/>
      <c r="E45" s="87"/>
      <c r="F45" s="87"/>
      <c r="H45" s="85"/>
      <c r="I45" s="88"/>
      <c r="J45" s="88"/>
      <c r="K45" s="89"/>
    </row>
    <row r="46" hidden="1">
      <c r="A46" s="85"/>
      <c r="B46" s="85"/>
      <c r="C46" s="86"/>
      <c r="D46" s="85"/>
      <c r="E46" s="87"/>
      <c r="F46" s="87"/>
      <c r="H46" s="85"/>
      <c r="I46" s="88"/>
      <c r="J46" s="88"/>
      <c r="K46" s="89"/>
    </row>
    <row r="47" hidden="1">
      <c r="A47" s="85"/>
      <c r="B47" s="85"/>
      <c r="C47" s="86"/>
      <c r="D47" s="85"/>
      <c r="E47" s="87"/>
      <c r="F47" s="87"/>
      <c r="H47" s="85"/>
      <c r="I47" s="88"/>
      <c r="J47" s="88"/>
      <c r="K47" s="89"/>
    </row>
    <row r="48" hidden="1">
      <c r="A48" s="85"/>
      <c r="B48" s="85"/>
      <c r="C48" s="86"/>
      <c r="D48" s="85"/>
      <c r="E48" s="87"/>
      <c r="F48" s="87"/>
      <c r="H48" s="85"/>
      <c r="I48" s="88"/>
      <c r="J48" s="88"/>
      <c r="K48" s="89"/>
    </row>
    <row r="49" hidden="1">
      <c r="A49" s="85"/>
      <c r="B49" s="85"/>
      <c r="C49" s="86"/>
      <c r="D49" s="85"/>
      <c r="E49" s="87"/>
      <c r="F49" s="87"/>
      <c r="H49" s="85"/>
      <c r="I49" s="88"/>
      <c r="J49" s="88"/>
      <c r="K49" s="89"/>
    </row>
    <row r="50" hidden="1">
      <c r="A50" s="85"/>
      <c r="B50" s="85"/>
      <c r="C50" s="86"/>
      <c r="D50" s="85"/>
      <c r="E50" s="87"/>
      <c r="F50" s="87"/>
      <c r="H50" s="85"/>
      <c r="I50" s="88"/>
      <c r="J50" s="88"/>
      <c r="K50" s="89"/>
    </row>
    <row r="51" hidden="1">
      <c r="A51" s="85"/>
      <c r="B51" s="85"/>
      <c r="C51" s="86"/>
      <c r="D51" s="85"/>
      <c r="E51" s="87"/>
      <c r="F51" s="87"/>
      <c r="H51" s="85"/>
      <c r="I51" s="88"/>
      <c r="J51" s="88"/>
      <c r="K51" s="89"/>
    </row>
    <row r="52" hidden="1">
      <c r="A52" s="85"/>
      <c r="B52" s="85"/>
      <c r="C52" s="86"/>
      <c r="D52" s="85"/>
      <c r="E52" s="87"/>
      <c r="F52" s="87"/>
      <c r="H52" s="85"/>
      <c r="I52" s="88"/>
      <c r="J52" s="88"/>
      <c r="K52" s="89"/>
    </row>
    <row r="53" hidden="1">
      <c r="A53" s="85"/>
      <c r="B53" s="85"/>
      <c r="C53" s="86"/>
      <c r="D53" s="85"/>
      <c r="E53" s="87"/>
      <c r="F53" s="87"/>
      <c r="H53" s="85"/>
      <c r="I53" s="88"/>
      <c r="J53" s="88"/>
      <c r="K53" s="89"/>
    </row>
    <row r="54" hidden="1">
      <c r="A54" s="85"/>
      <c r="B54" s="85"/>
      <c r="C54" s="86"/>
      <c r="D54" s="85"/>
      <c r="E54" s="87"/>
      <c r="F54" s="87"/>
      <c r="H54" s="85"/>
      <c r="I54" s="88"/>
      <c r="J54" s="88"/>
      <c r="K54" s="89"/>
    </row>
    <row r="55" hidden="1">
      <c r="A55" s="85"/>
      <c r="B55" s="85"/>
      <c r="C55" s="86"/>
      <c r="D55" s="85"/>
      <c r="E55" s="87"/>
      <c r="F55" s="87"/>
      <c r="H55" s="85"/>
      <c r="I55" s="88"/>
      <c r="J55" s="88"/>
      <c r="K55" s="89"/>
    </row>
    <row r="56" hidden="1">
      <c r="A56" s="85"/>
      <c r="B56" s="85"/>
      <c r="C56" s="86"/>
      <c r="D56" s="85"/>
      <c r="E56" s="87"/>
      <c r="F56" s="87"/>
      <c r="H56" s="85"/>
      <c r="I56" s="88"/>
      <c r="J56" s="88"/>
      <c r="K56" s="89"/>
    </row>
    <row r="57" hidden="1">
      <c r="A57" s="85"/>
      <c r="B57" s="85"/>
      <c r="C57" s="86"/>
      <c r="D57" s="85"/>
      <c r="E57" s="87"/>
      <c r="F57" s="87"/>
      <c r="H57" s="85"/>
      <c r="I57" s="88"/>
      <c r="J57" s="88"/>
      <c r="K57" s="89"/>
    </row>
    <row r="58" hidden="1">
      <c r="A58" s="85"/>
      <c r="B58" s="85"/>
      <c r="C58" s="86"/>
      <c r="D58" s="85"/>
      <c r="E58" s="87"/>
      <c r="F58" s="87"/>
      <c r="H58" s="85"/>
      <c r="I58" s="88"/>
      <c r="J58" s="88"/>
      <c r="K58" s="89"/>
    </row>
    <row r="59" hidden="1">
      <c r="A59" s="85"/>
      <c r="B59" s="85"/>
      <c r="C59" s="86"/>
      <c r="D59" s="85"/>
      <c r="E59" s="87"/>
      <c r="F59" s="87"/>
      <c r="H59" s="85"/>
      <c r="I59" s="88"/>
      <c r="J59" s="88"/>
      <c r="K59" s="89"/>
    </row>
    <row r="60" hidden="1">
      <c r="A60" s="85"/>
      <c r="B60" s="85"/>
      <c r="C60" s="86"/>
      <c r="D60" s="85"/>
      <c r="E60" s="87"/>
      <c r="F60" s="87"/>
      <c r="H60" s="85"/>
      <c r="I60" s="88"/>
      <c r="J60" s="88"/>
      <c r="K60" s="89"/>
    </row>
    <row r="61" hidden="1">
      <c r="A61" s="85"/>
      <c r="B61" s="85"/>
      <c r="C61" s="86"/>
      <c r="D61" s="85"/>
      <c r="E61" s="87"/>
      <c r="F61" s="87"/>
      <c r="H61" s="85"/>
      <c r="I61" s="88"/>
      <c r="J61" s="88"/>
      <c r="K61" s="89"/>
    </row>
    <row r="62" hidden="1">
      <c r="A62" s="85"/>
      <c r="B62" s="85"/>
      <c r="C62" s="86"/>
      <c r="D62" s="85"/>
      <c r="E62" s="87"/>
      <c r="F62" s="87"/>
      <c r="H62" s="85"/>
      <c r="I62" s="88"/>
      <c r="J62" s="88"/>
      <c r="K62" s="89"/>
    </row>
    <row r="63" hidden="1">
      <c r="A63" s="85"/>
      <c r="B63" s="85"/>
      <c r="C63" s="86"/>
      <c r="D63" s="85"/>
      <c r="E63" s="87"/>
      <c r="F63" s="87"/>
      <c r="H63" s="85"/>
      <c r="I63" s="88"/>
      <c r="J63" s="88"/>
      <c r="K63" s="89"/>
    </row>
    <row r="64" hidden="1">
      <c r="A64" s="85"/>
      <c r="B64" s="85"/>
      <c r="C64" s="86"/>
      <c r="D64" s="85"/>
      <c r="E64" s="87"/>
      <c r="F64" s="87"/>
      <c r="H64" s="85"/>
      <c r="I64" s="88"/>
      <c r="J64" s="88"/>
      <c r="K64" s="89"/>
    </row>
    <row r="65" hidden="1">
      <c r="A65" s="85"/>
      <c r="B65" s="85"/>
      <c r="C65" s="86"/>
      <c r="D65" s="85"/>
      <c r="E65" s="87"/>
      <c r="F65" s="87"/>
      <c r="H65" s="85"/>
      <c r="I65" s="88"/>
      <c r="J65" s="88"/>
      <c r="K65" s="89"/>
    </row>
    <row r="66" hidden="1">
      <c r="A66" s="85"/>
      <c r="B66" s="85"/>
      <c r="C66" s="86"/>
      <c r="D66" s="85"/>
      <c r="E66" s="87"/>
      <c r="F66" s="87"/>
      <c r="H66" s="85"/>
      <c r="I66" s="88"/>
      <c r="J66" s="88"/>
      <c r="K66" s="89"/>
    </row>
    <row r="67" hidden="1">
      <c r="A67" s="85"/>
      <c r="B67" s="85"/>
      <c r="C67" s="86"/>
      <c r="D67" s="85"/>
      <c r="E67" s="87"/>
      <c r="F67" s="87"/>
      <c r="H67" s="85"/>
      <c r="I67" s="88"/>
      <c r="J67" s="88"/>
      <c r="K67" s="89"/>
    </row>
    <row r="68" hidden="1">
      <c r="A68" s="85"/>
      <c r="B68" s="85"/>
      <c r="C68" s="86"/>
      <c r="D68" s="85"/>
      <c r="E68" s="87"/>
      <c r="F68" s="87"/>
      <c r="H68" s="85"/>
      <c r="I68" s="88"/>
      <c r="J68" s="88"/>
      <c r="K68" s="89"/>
    </row>
    <row r="69" hidden="1">
      <c r="A69" s="85"/>
      <c r="B69" s="85"/>
      <c r="C69" s="86"/>
      <c r="D69" s="85"/>
      <c r="E69" s="87"/>
      <c r="F69" s="87"/>
      <c r="H69" s="85"/>
      <c r="I69" s="88"/>
      <c r="J69" s="88"/>
      <c r="K69" s="89"/>
    </row>
    <row r="70" hidden="1">
      <c r="A70" s="85"/>
      <c r="B70" s="85"/>
      <c r="C70" s="86"/>
      <c r="D70" s="85"/>
      <c r="E70" s="87"/>
      <c r="F70" s="87"/>
      <c r="H70" s="85"/>
      <c r="I70" s="88"/>
      <c r="J70" s="88"/>
      <c r="K70" s="89"/>
    </row>
    <row r="71" hidden="1">
      <c r="A71" s="85"/>
      <c r="B71" s="85"/>
      <c r="C71" s="86"/>
      <c r="D71" s="85"/>
      <c r="E71" s="87"/>
      <c r="F71" s="87"/>
      <c r="H71" s="85"/>
      <c r="I71" s="88"/>
      <c r="J71" s="88"/>
      <c r="K71" s="89"/>
    </row>
    <row r="72" hidden="1">
      <c r="A72" s="85"/>
      <c r="B72" s="85"/>
      <c r="C72" s="86"/>
      <c r="D72" s="85"/>
      <c r="E72" s="87"/>
      <c r="F72" s="87"/>
      <c r="H72" s="85"/>
      <c r="I72" s="88"/>
      <c r="J72" s="88"/>
      <c r="K72" s="89"/>
    </row>
    <row r="73" hidden="1">
      <c r="A73" s="85"/>
      <c r="B73" s="85"/>
      <c r="C73" s="86"/>
      <c r="D73" s="85"/>
      <c r="E73" s="87"/>
      <c r="F73" s="87"/>
      <c r="H73" s="85"/>
      <c r="I73" s="88"/>
      <c r="J73" s="88"/>
      <c r="K73" s="89"/>
    </row>
    <row r="74" hidden="1">
      <c r="A74" s="85"/>
      <c r="B74" s="85"/>
      <c r="C74" s="86"/>
      <c r="D74" s="85"/>
      <c r="E74" s="87"/>
      <c r="F74" s="87"/>
      <c r="H74" s="85"/>
      <c r="I74" s="88"/>
      <c r="J74" s="88"/>
      <c r="K74" s="89"/>
    </row>
    <row r="75" hidden="1">
      <c r="A75" s="85"/>
      <c r="B75" s="85"/>
      <c r="C75" s="86"/>
      <c r="D75" s="85"/>
      <c r="E75" s="87"/>
      <c r="F75" s="87"/>
      <c r="H75" s="85"/>
      <c r="I75" s="88"/>
      <c r="J75" s="88"/>
      <c r="K75" s="89"/>
    </row>
    <row r="76" hidden="1">
      <c r="A76" s="85"/>
      <c r="B76" s="85"/>
      <c r="C76" s="86"/>
      <c r="D76" s="85"/>
      <c r="E76" s="87"/>
      <c r="F76" s="87"/>
      <c r="H76" s="85"/>
      <c r="I76" s="88"/>
      <c r="J76" s="88"/>
      <c r="K76" s="89"/>
    </row>
    <row r="77" hidden="1">
      <c r="A77" s="85"/>
      <c r="B77" s="85"/>
      <c r="C77" s="86"/>
      <c r="D77" s="85"/>
      <c r="E77" s="87"/>
      <c r="F77" s="87"/>
      <c r="H77" s="85"/>
      <c r="I77" s="88"/>
      <c r="J77" s="88"/>
      <c r="K77" s="89"/>
    </row>
    <row r="78" hidden="1">
      <c r="A78" s="85"/>
      <c r="B78" s="85"/>
      <c r="C78" s="86"/>
      <c r="D78" s="85"/>
      <c r="E78" s="87"/>
      <c r="F78" s="87"/>
      <c r="H78" s="85"/>
      <c r="I78" s="88"/>
      <c r="J78" s="88"/>
      <c r="K78" s="89"/>
    </row>
    <row r="79" hidden="1">
      <c r="A79" s="85"/>
      <c r="B79" s="85"/>
      <c r="C79" s="86"/>
      <c r="D79" s="85"/>
      <c r="E79" s="87"/>
      <c r="F79" s="87"/>
      <c r="H79" s="85"/>
      <c r="I79" s="88"/>
      <c r="J79" s="88"/>
      <c r="K79" s="89"/>
    </row>
    <row r="80" hidden="1">
      <c r="A80" s="85"/>
      <c r="B80" s="85"/>
      <c r="C80" s="86"/>
      <c r="D80" s="85"/>
      <c r="E80" s="87"/>
      <c r="F80" s="87"/>
      <c r="H80" s="85"/>
      <c r="I80" s="88"/>
      <c r="J80" s="88"/>
      <c r="K80" s="89"/>
    </row>
    <row r="81" hidden="1">
      <c r="A81" s="85"/>
      <c r="B81" s="85"/>
      <c r="C81" s="86"/>
      <c r="D81" s="85"/>
      <c r="E81" s="87"/>
      <c r="F81" s="87"/>
      <c r="H81" s="85"/>
      <c r="I81" s="88"/>
      <c r="J81" s="88"/>
      <c r="K81" s="89"/>
    </row>
    <row r="82" hidden="1">
      <c r="A82" s="85"/>
      <c r="B82" s="85"/>
      <c r="C82" s="86"/>
      <c r="D82" s="85"/>
      <c r="E82" s="87"/>
      <c r="F82" s="87"/>
      <c r="H82" s="85"/>
      <c r="I82" s="88"/>
      <c r="J82" s="88"/>
      <c r="K82" s="89"/>
    </row>
    <row r="83" hidden="1">
      <c r="A83" s="85"/>
      <c r="B83" s="85"/>
      <c r="C83" s="86"/>
      <c r="D83" s="85"/>
      <c r="E83" s="87"/>
      <c r="F83" s="87"/>
      <c r="H83" s="85"/>
      <c r="I83" s="88"/>
      <c r="J83" s="88"/>
      <c r="K83" s="89"/>
    </row>
    <row r="84" hidden="1">
      <c r="A84" s="85"/>
      <c r="B84" s="85"/>
      <c r="C84" s="86"/>
      <c r="D84" s="85"/>
      <c r="E84" s="87"/>
      <c r="F84" s="87"/>
      <c r="H84" s="85"/>
      <c r="I84" s="88"/>
      <c r="J84" s="88"/>
      <c r="K84" s="89"/>
    </row>
    <row r="85" hidden="1">
      <c r="A85" s="85"/>
      <c r="B85" s="85"/>
      <c r="C85" s="86"/>
      <c r="D85" s="85"/>
      <c r="E85" s="87"/>
      <c r="F85" s="87"/>
      <c r="H85" s="85"/>
      <c r="I85" s="88"/>
      <c r="J85" s="88"/>
      <c r="K85" s="89"/>
    </row>
    <row r="86" hidden="1">
      <c r="A86" s="85"/>
      <c r="B86" s="85"/>
      <c r="C86" s="86"/>
      <c r="D86" s="85"/>
      <c r="E86" s="87"/>
      <c r="F86" s="87"/>
      <c r="H86" s="85"/>
      <c r="I86" s="88"/>
      <c r="J86" s="88"/>
      <c r="K86" s="89"/>
    </row>
    <row r="87" hidden="1">
      <c r="A87" s="85"/>
      <c r="B87" s="85"/>
      <c r="C87" s="86"/>
      <c r="D87" s="85"/>
      <c r="E87" s="87"/>
      <c r="F87" s="87"/>
      <c r="H87" s="85"/>
      <c r="I87" s="88"/>
      <c r="J87" s="88"/>
      <c r="K87" s="89"/>
    </row>
    <row r="88" hidden="1">
      <c r="A88" s="85"/>
      <c r="B88" s="85"/>
      <c r="C88" s="86"/>
      <c r="D88" s="85"/>
      <c r="E88" s="87"/>
      <c r="F88" s="87"/>
      <c r="H88" s="85"/>
      <c r="I88" s="88"/>
      <c r="J88" s="88"/>
      <c r="K88" s="89"/>
    </row>
    <row r="89" hidden="1">
      <c r="A89" s="85"/>
      <c r="B89" s="85"/>
      <c r="C89" s="86"/>
      <c r="D89" s="85"/>
      <c r="E89" s="87"/>
      <c r="F89" s="87"/>
      <c r="H89" s="85"/>
      <c r="I89" s="88"/>
      <c r="J89" s="88"/>
      <c r="K89" s="89"/>
    </row>
    <row r="90" hidden="1">
      <c r="A90" s="85"/>
      <c r="B90" s="85"/>
      <c r="C90" s="86"/>
      <c r="D90" s="85"/>
      <c r="E90" s="87"/>
      <c r="F90" s="87"/>
      <c r="H90" s="85"/>
      <c r="I90" s="88"/>
      <c r="J90" s="88"/>
      <c r="K90" s="89"/>
    </row>
    <row r="91" hidden="1">
      <c r="A91" s="85"/>
      <c r="B91" s="85"/>
      <c r="C91" s="86"/>
      <c r="D91" s="85"/>
      <c r="E91" s="87"/>
      <c r="F91" s="87"/>
      <c r="H91" s="85"/>
      <c r="I91" s="88"/>
      <c r="J91" s="88"/>
      <c r="K91" s="89"/>
    </row>
    <row r="92" hidden="1">
      <c r="A92" s="85"/>
      <c r="B92" s="85"/>
      <c r="C92" s="86"/>
      <c r="D92" s="85"/>
      <c r="E92" s="87"/>
      <c r="F92" s="87"/>
      <c r="H92" s="85"/>
      <c r="I92" s="88"/>
      <c r="J92" s="88"/>
      <c r="K92" s="89"/>
    </row>
    <row r="93" hidden="1">
      <c r="A93" s="85"/>
      <c r="B93" s="85"/>
      <c r="C93" s="86"/>
      <c r="D93" s="85"/>
      <c r="E93" s="87"/>
      <c r="F93" s="87"/>
      <c r="H93" s="85"/>
      <c r="I93" s="88"/>
      <c r="J93" s="88"/>
      <c r="K93" s="89"/>
    </row>
    <row r="94" hidden="1">
      <c r="A94" s="85"/>
      <c r="B94" s="85"/>
      <c r="C94" s="86"/>
      <c r="D94" s="85"/>
      <c r="E94" s="87"/>
      <c r="F94" s="87"/>
      <c r="H94" s="85"/>
      <c r="I94" s="88"/>
      <c r="J94" s="88"/>
      <c r="K94" s="89"/>
    </row>
    <row r="95" hidden="1">
      <c r="A95" s="85"/>
      <c r="B95" s="85"/>
      <c r="C95" s="86"/>
      <c r="D95" s="85"/>
      <c r="E95" s="87"/>
      <c r="F95" s="87"/>
      <c r="H95" s="85"/>
      <c r="I95" s="88"/>
      <c r="J95" s="88"/>
      <c r="K95" s="89"/>
    </row>
    <row r="96" hidden="1">
      <c r="A96" s="85"/>
      <c r="B96" s="85"/>
      <c r="C96" s="86"/>
      <c r="D96" s="85"/>
      <c r="E96" s="87"/>
      <c r="F96" s="87"/>
      <c r="H96" s="85"/>
      <c r="I96" s="88"/>
      <c r="J96" s="88"/>
      <c r="K96" s="89"/>
    </row>
    <row r="97" hidden="1">
      <c r="A97" s="85"/>
      <c r="B97" s="85"/>
      <c r="C97" s="86"/>
      <c r="D97" s="85"/>
      <c r="E97" s="87"/>
      <c r="F97" s="87"/>
      <c r="H97" s="85"/>
      <c r="I97" s="88"/>
      <c r="J97" s="88"/>
      <c r="K97" s="89"/>
    </row>
    <row r="98" hidden="1">
      <c r="A98" s="85"/>
      <c r="B98" s="85"/>
      <c r="C98" s="86"/>
      <c r="D98" s="85"/>
      <c r="E98" s="87"/>
      <c r="F98" s="87"/>
      <c r="H98" s="85"/>
      <c r="I98" s="88"/>
      <c r="J98" s="88"/>
      <c r="K98" s="89"/>
    </row>
    <row r="99" hidden="1">
      <c r="A99" s="85"/>
      <c r="B99" s="85"/>
      <c r="C99" s="86"/>
      <c r="D99" s="85"/>
      <c r="E99" s="87"/>
      <c r="F99" s="87"/>
      <c r="H99" s="85"/>
      <c r="I99" s="88"/>
      <c r="J99" s="88"/>
      <c r="K99" s="89"/>
    </row>
    <row r="100" hidden="1">
      <c r="A100" s="85"/>
      <c r="B100" s="85"/>
      <c r="C100" s="86"/>
      <c r="D100" s="85"/>
      <c r="E100" s="87"/>
      <c r="F100" s="87"/>
      <c r="H100" s="85"/>
      <c r="I100" s="88"/>
      <c r="J100" s="88"/>
      <c r="K100" s="89"/>
    </row>
    <row r="101" hidden="1">
      <c r="A101" s="85"/>
      <c r="B101" s="85"/>
      <c r="C101" s="86"/>
      <c r="D101" s="85"/>
      <c r="E101" s="87"/>
      <c r="F101" s="87"/>
      <c r="H101" s="85"/>
      <c r="I101" s="88"/>
      <c r="J101" s="88"/>
      <c r="K101" s="89"/>
    </row>
    <row r="102" hidden="1">
      <c r="A102" s="85"/>
      <c r="B102" s="85"/>
      <c r="C102" s="86"/>
      <c r="D102" s="85"/>
      <c r="E102" s="87"/>
      <c r="F102" s="87"/>
      <c r="H102" s="85"/>
      <c r="I102" s="88"/>
      <c r="J102" s="88"/>
      <c r="K102" s="89"/>
    </row>
    <row r="103" hidden="1">
      <c r="A103" s="85"/>
      <c r="B103" s="85"/>
      <c r="C103" s="86"/>
      <c r="D103" s="85"/>
      <c r="E103" s="87"/>
      <c r="F103" s="87"/>
      <c r="H103" s="85"/>
      <c r="I103" s="88"/>
      <c r="J103" s="88"/>
      <c r="K103" s="89"/>
    </row>
    <row r="104" hidden="1">
      <c r="A104" s="85"/>
      <c r="B104" s="85"/>
      <c r="C104" s="86"/>
      <c r="D104" s="85"/>
      <c r="E104" s="87"/>
      <c r="F104" s="87"/>
      <c r="H104" s="85"/>
      <c r="I104" s="88"/>
      <c r="J104" s="88"/>
      <c r="K104" s="89"/>
    </row>
    <row r="105" hidden="1">
      <c r="A105" s="85"/>
      <c r="B105" s="85"/>
      <c r="C105" s="86"/>
      <c r="D105" s="85"/>
      <c r="E105" s="87"/>
      <c r="F105" s="87"/>
      <c r="H105" s="85"/>
      <c r="I105" s="88"/>
      <c r="J105" s="88"/>
      <c r="K105" s="89"/>
    </row>
    <row r="106" hidden="1">
      <c r="A106" s="85"/>
      <c r="B106" s="85"/>
      <c r="C106" s="86"/>
      <c r="D106" s="85"/>
      <c r="E106" s="87"/>
      <c r="F106" s="87"/>
      <c r="H106" s="85"/>
      <c r="I106" s="88"/>
      <c r="J106" s="88"/>
      <c r="K106" s="89"/>
    </row>
    <row r="107" hidden="1">
      <c r="A107" s="85"/>
      <c r="B107" s="85"/>
      <c r="C107" s="86"/>
      <c r="D107" s="85"/>
      <c r="E107" s="87"/>
      <c r="F107" s="87"/>
      <c r="H107" s="85"/>
      <c r="I107" s="88"/>
      <c r="J107" s="88"/>
      <c r="K107" s="89"/>
    </row>
    <row r="108" hidden="1">
      <c r="A108" s="85"/>
      <c r="B108" s="85"/>
      <c r="C108" s="86"/>
      <c r="D108" s="85"/>
      <c r="E108" s="87"/>
      <c r="F108" s="87"/>
      <c r="H108" s="85"/>
      <c r="I108" s="88"/>
      <c r="J108" s="88"/>
      <c r="K108" s="89"/>
    </row>
    <row r="109" hidden="1">
      <c r="A109" s="85"/>
      <c r="B109" s="85"/>
      <c r="C109" s="86"/>
      <c r="D109" s="85"/>
      <c r="E109" s="87"/>
      <c r="F109" s="87"/>
      <c r="H109" s="85"/>
      <c r="I109" s="88"/>
      <c r="J109" s="88"/>
      <c r="K109" s="89"/>
    </row>
    <row r="110" hidden="1">
      <c r="A110" s="85"/>
      <c r="B110" s="85"/>
      <c r="C110" s="86"/>
      <c r="D110" s="85"/>
      <c r="E110" s="87"/>
      <c r="F110" s="87"/>
      <c r="H110" s="85"/>
      <c r="I110" s="88"/>
      <c r="J110" s="88"/>
      <c r="K110" s="89"/>
    </row>
    <row r="111" hidden="1">
      <c r="A111" s="85"/>
      <c r="B111" s="85"/>
      <c r="C111" s="86"/>
      <c r="D111" s="85"/>
      <c r="E111" s="87"/>
      <c r="F111" s="87"/>
      <c r="H111" s="85"/>
      <c r="I111" s="88"/>
      <c r="J111" s="88"/>
      <c r="K111" s="89"/>
    </row>
    <row r="112" hidden="1">
      <c r="A112" s="85"/>
      <c r="B112" s="85"/>
      <c r="C112" s="86"/>
      <c r="D112" s="85"/>
      <c r="E112" s="87"/>
      <c r="F112" s="87"/>
      <c r="H112" s="85"/>
      <c r="I112" s="88"/>
      <c r="J112" s="88"/>
      <c r="K112" s="89"/>
    </row>
    <row r="113" hidden="1">
      <c r="A113" s="85"/>
      <c r="B113" s="85"/>
      <c r="C113" s="86"/>
      <c r="D113" s="85"/>
      <c r="E113" s="87"/>
      <c r="F113" s="87"/>
      <c r="H113" s="85"/>
      <c r="I113" s="88"/>
      <c r="J113" s="88"/>
      <c r="K113" s="89"/>
    </row>
    <row r="114" hidden="1">
      <c r="A114" s="85"/>
      <c r="B114" s="85"/>
      <c r="C114" s="86"/>
      <c r="D114" s="85"/>
      <c r="E114" s="87"/>
      <c r="F114" s="87"/>
      <c r="H114" s="85"/>
      <c r="I114" s="88"/>
      <c r="J114" s="88"/>
      <c r="K114" s="89"/>
    </row>
    <row r="115" hidden="1">
      <c r="A115" s="85"/>
      <c r="B115" s="85"/>
      <c r="C115" s="86"/>
      <c r="D115" s="85"/>
      <c r="E115" s="87"/>
      <c r="F115" s="87"/>
      <c r="H115" s="85"/>
      <c r="I115" s="88"/>
      <c r="J115" s="88"/>
      <c r="K115" s="89"/>
    </row>
    <row r="116" hidden="1">
      <c r="A116" s="85"/>
      <c r="B116" s="85"/>
      <c r="C116" s="86"/>
      <c r="D116" s="85"/>
      <c r="E116" s="87"/>
      <c r="F116" s="87"/>
      <c r="H116" s="85"/>
      <c r="I116" s="88"/>
      <c r="J116" s="88"/>
      <c r="K116" s="89"/>
    </row>
    <row r="117" hidden="1">
      <c r="A117" s="85"/>
      <c r="B117" s="85"/>
      <c r="C117" s="86"/>
      <c r="D117" s="85"/>
      <c r="E117" s="87"/>
      <c r="F117" s="87"/>
      <c r="H117" s="85"/>
      <c r="I117" s="88"/>
      <c r="J117" s="88"/>
      <c r="K117" s="89"/>
    </row>
    <row r="118" hidden="1">
      <c r="A118" s="85"/>
      <c r="B118" s="85"/>
      <c r="C118" s="86"/>
      <c r="D118" s="85"/>
      <c r="E118" s="87"/>
      <c r="F118" s="87"/>
      <c r="H118" s="85"/>
      <c r="I118" s="88"/>
      <c r="J118" s="88"/>
      <c r="K118" s="89"/>
    </row>
    <row r="119" hidden="1">
      <c r="A119" s="85"/>
      <c r="B119" s="85"/>
      <c r="C119" s="86"/>
      <c r="D119" s="85"/>
      <c r="E119" s="87"/>
      <c r="F119" s="87"/>
      <c r="H119" s="85"/>
      <c r="I119" s="88"/>
      <c r="J119" s="88"/>
      <c r="K119" s="89"/>
    </row>
    <row r="120" hidden="1">
      <c r="A120" s="85"/>
      <c r="B120" s="85"/>
      <c r="C120" s="86"/>
      <c r="D120" s="85"/>
      <c r="E120" s="87"/>
      <c r="F120" s="87"/>
      <c r="H120" s="85"/>
      <c r="I120" s="88"/>
      <c r="J120" s="88"/>
      <c r="K120" s="89"/>
    </row>
    <row r="121" hidden="1">
      <c r="A121" s="85"/>
      <c r="B121" s="85"/>
      <c r="C121" s="86"/>
      <c r="D121" s="85"/>
      <c r="E121" s="87"/>
      <c r="F121" s="87"/>
      <c r="H121" s="85"/>
      <c r="I121" s="88"/>
      <c r="J121" s="88"/>
      <c r="K121" s="89"/>
    </row>
    <row r="122" hidden="1">
      <c r="A122" s="85"/>
      <c r="B122" s="85"/>
      <c r="C122" s="86"/>
      <c r="D122" s="85"/>
      <c r="E122" s="87"/>
      <c r="F122" s="87"/>
      <c r="H122" s="85"/>
      <c r="I122" s="88"/>
      <c r="J122" s="88"/>
      <c r="K122" s="89"/>
    </row>
    <row r="123" hidden="1">
      <c r="A123" s="85"/>
      <c r="B123" s="85"/>
      <c r="C123" s="86"/>
      <c r="D123" s="85"/>
      <c r="E123" s="87"/>
      <c r="F123" s="87"/>
      <c r="H123" s="85"/>
      <c r="I123" s="88"/>
      <c r="J123" s="88"/>
      <c r="K123" s="89"/>
    </row>
    <row r="124" hidden="1">
      <c r="A124" s="85"/>
      <c r="B124" s="85"/>
      <c r="C124" s="86"/>
      <c r="D124" s="85"/>
      <c r="E124" s="87"/>
      <c r="F124" s="87"/>
      <c r="H124" s="85"/>
      <c r="I124" s="88"/>
      <c r="J124" s="88"/>
      <c r="K124" s="89"/>
    </row>
    <row r="125" hidden="1">
      <c r="A125" s="85"/>
      <c r="B125" s="85"/>
      <c r="C125" s="86"/>
      <c r="D125" s="85"/>
      <c r="E125" s="87"/>
      <c r="F125" s="87"/>
      <c r="H125" s="85"/>
      <c r="I125" s="88"/>
      <c r="J125" s="88"/>
      <c r="K125" s="89"/>
    </row>
    <row r="126" hidden="1">
      <c r="A126" s="85"/>
      <c r="B126" s="85"/>
      <c r="C126" s="86"/>
      <c r="D126" s="85"/>
      <c r="E126" s="87"/>
      <c r="F126" s="87"/>
      <c r="H126" s="85"/>
      <c r="I126" s="88"/>
      <c r="J126" s="88"/>
      <c r="K126" s="89"/>
    </row>
    <row r="127" hidden="1">
      <c r="A127" s="85"/>
      <c r="B127" s="85"/>
      <c r="C127" s="86"/>
      <c r="D127" s="85"/>
      <c r="E127" s="87"/>
      <c r="F127" s="87"/>
      <c r="H127" s="85"/>
      <c r="I127" s="88"/>
      <c r="J127" s="88"/>
      <c r="K127" s="89"/>
    </row>
    <row r="128" hidden="1">
      <c r="A128" s="85"/>
      <c r="B128" s="85"/>
      <c r="C128" s="86"/>
      <c r="D128" s="85"/>
      <c r="E128" s="87"/>
      <c r="F128" s="87"/>
      <c r="H128" s="85"/>
      <c r="I128" s="88"/>
      <c r="J128" s="88"/>
      <c r="K128" s="89"/>
    </row>
    <row r="129" hidden="1">
      <c r="A129" s="85"/>
      <c r="B129" s="85"/>
      <c r="C129" s="86"/>
      <c r="D129" s="85"/>
      <c r="E129" s="87"/>
      <c r="F129" s="87"/>
      <c r="H129" s="85"/>
      <c r="I129" s="88"/>
      <c r="J129" s="88"/>
      <c r="K129" s="89"/>
    </row>
    <row r="130" hidden="1">
      <c r="A130" s="85"/>
      <c r="B130" s="85"/>
      <c r="C130" s="86"/>
      <c r="D130" s="85"/>
      <c r="E130" s="87"/>
      <c r="F130" s="87"/>
      <c r="H130" s="85"/>
      <c r="I130" s="88"/>
      <c r="J130" s="88"/>
      <c r="K130" s="89"/>
    </row>
    <row r="131" hidden="1">
      <c r="A131" s="85"/>
      <c r="B131" s="85"/>
      <c r="C131" s="86"/>
      <c r="D131" s="85"/>
      <c r="E131" s="87"/>
      <c r="F131" s="87"/>
      <c r="H131" s="85"/>
      <c r="I131" s="88"/>
      <c r="J131" s="88"/>
      <c r="K131" s="89"/>
    </row>
    <row r="132" hidden="1">
      <c r="A132" s="85"/>
      <c r="B132" s="85"/>
      <c r="C132" s="86"/>
      <c r="D132" s="85"/>
      <c r="E132" s="87"/>
      <c r="F132" s="87"/>
      <c r="H132" s="85"/>
      <c r="I132" s="88"/>
      <c r="J132" s="88"/>
      <c r="K132" s="89"/>
    </row>
    <row r="133" hidden="1">
      <c r="A133" s="85"/>
      <c r="B133" s="85"/>
      <c r="C133" s="86"/>
      <c r="D133" s="85"/>
      <c r="E133" s="87"/>
      <c r="F133" s="87"/>
      <c r="H133" s="85"/>
      <c r="I133" s="88"/>
      <c r="J133" s="88"/>
      <c r="K133" s="89"/>
    </row>
    <row r="134" hidden="1">
      <c r="A134" s="85"/>
      <c r="B134" s="85"/>
      <c r="C134" s="86"/>
      <c r="D134" s="85"/>
      <c r="E134" s="87"/>
      <c r="F134" s="87"/>
      <c r="H134" s="85"/>
      <c r="I134" s="88"/>
      <c r="J134" s="88"/>
      <c r="K134" s="89"/>
    </row>
    <row r="135" hidden="1">
      <c r="A135" s="85"/>
      <c r="B135" s="85"/>
      <c r="C135" s="86"/>
      <c r="D135" s="85"/>
      <c r="E135" s="87"/>
      <c r="F135" s="87"/>
      <c r="H135" s="85"/>
      <c r="I135" s="88"/>
      <c r="J135" s="88"/>
      <c r="K135" s="89"/>
    </row>
    <row r="136" hidden="1">
      <c r="A136" s="85"/>
      <c r="B136" s="85"/>
      <c r="C136" s="86"/>
      <c r="D136" s="85"/>
      <c r="E136" s="87"/>
      <c r="F136" s="87"/>
      <c r="H136" s="85"/>
      <c r="I136" s="88"/>
      <c r="J136" s="88"/>
      <c r="K136" s="89"/>
    </row>
    <row r="137" hidden="1">
      <c r="A137" s="85"/>
      <c r="B137" s="85"/>
      <c r="C137" s="86"/>
      <c r="D137" s="85"/>
      <c r="E137" s="87"/>
      <c r="F137" s="87"/>
      <c r="H137" s="85"/>
      <c r="I137" s="88"/>
      <c r="J137" s="88"/>
      <c r="K137" s="89"/>
    </row>
    <row r="138" hidden="1">
      <c r="A138" s="85"/>
      <c r="B138" s="85"/>
      <c r="C138" s="86"/>
      <c r="D138" s="85"/>
      <c r="E138" s="87"/>
      <c r="F138" s="87"/>
      <c r="H138" s="85"/>
      <c r="I138" s="88"/>
      <c r="J138" s="88"/>
      <c r="K138" s="89"/>
    </row>
    <row r="139" hidden="1">
      <c r="A139" s="85"/>
      <c r="B139" s="85"/>
      <c r="C139" s="86"/>
      <c r="D139" s="85"/>
      <c r="E139" s="87"/>
      <c r="F139" s="87"/>
      <c r="H139" s="85"/>
      <c r="I139" s="88"/>
      <c r="J139" s="88"/>
      <c r="K139" s="89"/>
    </row>
    <row r="140" hidden="1">
      <c r="A140" s="85"/>
      <c r="B140" s="85"/>
      <c r="C140" s="86"/>
      <c r="D140" s="85"/>
      <c r="E140" s="87"/>
      <c r="F140" s="87"/>
      <c r="H140" s="85"/>
      <c r="I140" s="88"/>
      <c r="J140" s="88"/>
      <c r="K140" s="89"/>
    </row>
    <row r="141" hidden="1">
      <c r="A141" s="85"/>
      <c r="B141" s="85"/>
      <c r="C141" s="86"/>
      <c r="D141" s="85"/>
      <c r="E141" s="87"/>
      <c r="F141" s="87"/>
      <c r="H141" s="85"/>
      <c r="I141" s="88"/>
      <c r="J141" s="88"/>
      <c r="K141" s="89"/>
    </row>
    <row r="142" hidden="1">
      <c r="A142" s="85"/>
      <c r="B142" s="85"/>
      <c r="C142" s="86"/>
      <c r="D142" s="85"/>
      <c r="E142" s="87"/>
      <c r="F142" s="87"/>
      <c r="H142" s="85"/>
      <c r="I142" s="88"/>
      <c r="J142" s="88"/>
      <c r="K142" s="89"/>
    </row>
    <row r="143" hidden="1">
      <c r="A143" s="85"/>
      <c r="B143" s="85"/>
      <c r="C143" s="86"/>
      <c r="D143" s="85"/>
      <c r="E143" s="87"/>
      <c r="F143" s="87"/>
      <c r="H143" s="85"/>
      <c r="I143" s="88"/>
      <c r="J143" s="88"/>
      <c r="K143" s="89"/>
    </row>
    <row r="144" hidden="1">
      <c r="A144" s="85"/>
      <c r="B144" s="85"/>
      <c r="C144" s="86"/>
      <c r="D144" s="85"/>
      <c r="E144" s="87"/>
      <c r="F144" s="87"/>
      <c r="H144" s="85"/>
      <c r="I144" s="88"/>
      <c r="J144" s="88"/>
      <c r="K144" s="89"/>
    </row>
    <row r="145" hidden="1">
      <c r="A145" s="85"/>
      <c r="B145" s="85"/>
      <c r="C145" s="86"/>
      <c r="D145" s="85"/>
      <c r="E145" s="87"/>
      <c r="F145" s="87"/>
      <c r="H145" s="85"/>
      <c r="I145" s="88"/>
      <c r="J145" s="88"/>
      <c r="K145" s="89"/>
    </row>
    <row r="146" hidden="1">
      <c r="A146" s="85"/>
      <c r="B146" s="85"/>
      <c r="C146" s="86"/>
      <c r="D146" s="85"/>
      <c r="E146" s="87"/>
      <c r="F146" s="87"/>
      <c r="H146" s="85"/>
      <c r="I146" s="88"/>
      <c r="J146" s="88"/>
      <c r="K146" s="89"/>
    </row>
    <row r="147" hidden="1">
      <c r="A147" s="85"/>
      <c r="B147" s="85"/>
      <c r="C147" s="86"/>
      <c r="D147" s="85"/>
      <c r="E147" s="87"/>
      <c r="F147" s="87"/>
      <c r="H147" s="85"/>
      <c r="I147" s="88"/>
      <c r="J147" s="88"/>
      <c r="K147" s="89"/>
    </row>
    <row r="148" hidden="1">
      <c r="A148" s="85"/>
      <c r="B148" s="85"/>
      <c r="C148" s="86"/>
      <c r="D148" s="85"/>
      <c r="E148" s="87"/>
      <c r="F148" s="87"/>
      <c r="H148" s="85"/>
      <c r="I148" s="88"/>
      <c r="J148" s="88"/>
      <c r="K148" s="89"/>
    </row>
    <row r="149" hidden="1">
      <c r="A149" s="85"/>
      <c r="B149" s="85"/>
      <c r="C149" s="86"/>
      <c r="D149" s="85"/>
      <c r="E149" s="87"/>
      <c r="F149" s="87"/>
      <c r="H149" s="85"/>
      <c r="I149" s="88"/>
      <c r="J149" s="88"/>
      <c r="K149" s="89"/>
    </row>
    <row r="150" hidden="1">
      <c r="A150" s="85"/>
      <c r="B150" s="85"/>
      <c r="C150" s="86"/>
      <c r="D150" s="85"/>
      <c r="E150" s="87"/>
      <c r="F150" s="87"/>
      <c r="H150" s="85"/>
      <c r="I150" s="88"/>
      <c r="J150" s="88"/>
      <c r="K150" s="89"/>
    </row>
    <row r="151" hidden="1">
      <c r="A151" s="85"/>
      <c r="B151" s="85"/>
      <c r="C151" s="86"/>
      <c r="D151" s="85"/>
      <c r="E151" s="87"/>
      <c r="F151" s="87"/>
      <c r="H151" s="85"/>
      <c r="I151" s="88"/>
      <c r="J151" s="88"/>
      <c r="K151" s="89"/>
    </row>
    <row r="152" hidden="1">
      <c r="A152" s="85"/>
      <c r="B152" s="85"/>
      <c r="C152" s="86"/>
      <c r="D152" s="85"/>
      <c r="E152" s="87"/>
      <c r="F152" s="87"/>
      <c r="H152" s="85"/>
      <c r="I152" s="88"/>
      <c r="J152" s="88"/>
      <c r="K152" s="89"/>
    </row>
    <row r="153" hidden="1">
      <c r="A153" s="85"/>
      <c r="B153" s="85"/>
      <c r="C153" s="86"/>
      <c r="D153" s="85"/>
      <c r="E153" s="87"/>
      <c r="F153" s="87"/>
      <c r="H153" s="85"/>
      <c r="I153" s="88"/>
      <c r="J153" s="88"/>
      <c r="K153" s="89"/>
    </row>
    <row r="154" hidden="1">
      <c r="A154" s="85"/>
      <c r="B154" s="85"/>
      <c r="C154" s="86"/>
      <c r="D154" s="85"/>
      <c r="E154" s="87"/>
      <c r="F154" s="87"/>
      <c r="H154" s="85"/>
      <c r="I154" s="88"/>
      <c r="J154" s="88"/>
      <c r="K154" s="89"/>
    </row>
    <row r="155" hidden="1">
      <c r="A155" s="85"/>
      <c r="B155" s="85"/>
      <c r="C155" s="86"/>
      <c r="D155" s="85"/>
      <c r="E155" s="87"/>
      <c r="F155" s="87"/>
      <c r="H155" s="85"/>
      <c r="I155" s="88"/>
      <c r="J155" s="88"/>
      <c r="K155" s="89"/>
    </row>
    <row r="156" hidden="1">
      <c r="A156" s="85"/>
      <c r="B156" s="85"/>
      <c r="C156" s="86"/>
      <c r="D156" s="85"/>
      <c r="E156" s="87"/>
      <c r="F156" s="87"/>
      <c r="H156" s="85"/>
      <c r="I156" s="88"/>
      <c r="J156" s="88"/>
      <c r="K156" s="89"/>
    </row>
    <row r="157" hidden="1">
      <c r="A157" s="85"/>
      <c r="B157" s="85"/>
      <c r="C157" s="86"/>
      <c r="D157" s="85"/>
      <c r="E157" s="87"/>
      <c r="F157" s="87"/>
      <c r="H157" s="85"/>
      <c r="I157" s="88"/>
      <c r="J157" s="88"/>
      <c r="K157" s="89"/>
    </row>
    <row r="158" hidden="1">
      <c r="A158" s="85"/>
      <c r="B158" s="85"/>
      <c r="C158" s="86"/>
      <c r="D158" s="85"/>
      <c r="E158" s="87"/>
      <c r="F158" s="87"/>
      <c r="H158" s="85"/>
      <c r="I158" s="88"/>
      <c r="J158" s="88"/>
      <c r="K158" s="89"/>
    </row>
    <row r="159" hidden="1">
      <c r="A159" s="85"/>
      <c r="B159" s="85"/>
      <c r="C159" s="86"/>
      <c r="D159" s="85"/>
      <c r="E159" s="87"/>
      <c r="F159" s="87"/>
      <c r="H159" s="85"/>
      <c r="I159" s="88"/>
      <c r="J159" s="88"/>
      <c r="K159" s="89"/>
    </row>
    <row r="160" hidden="1">
      <c r="A160" s="85"/>
      <c r="B160" s="85"/>
      <c r="C160" s="86"/>
      <c r="D160" s="85"/>
      <c r="E160" s="87"/>
      <c r="F160" s="87"/>
      <c r="H160" s="85"/>
      <c r="I160" s="88"/>
      <c r="J160" s="88"/>
      <c r="K160" s="89"/>
    </row>
    <row r="161" hidden="1">
      <c r="A161" s="85"/>
      <c r="B161" s="85"/>
      <c r="C161" s="86"/>
      <c r="D161" s="85"/>
      <c r="E161" s="87"/>
      <c r="F161" s="87"/>
      <c r="H161" s="85"/>
      <c r="I161" s="88"/>
      <c r="J161" s="88"/>
      <c r="K161" s="89"/>
    </row>
    <row r="162" hidden="1">
      <c r="A162" s="85"/>
      <c r="B162" s="85"/>
      <c r="C162" s="86"/>
      <c r="D162" s="85"/>
      <c r="E162" s="87"/>
      <c r="F162" s="87"/>
      <c r="H162" s="85"/>
      <c r="I162" s="88"/>
      <c r="J162" s="88"/>
      <c r="K162" s="89"/>
    </row>
    <row r="163" hidden="1">
      <c r="A163" s="85"/>
      <c r="B163" s="85"/>
      <c r="C163" s="86"/>
      <c r="D163" s="85"/>
      <c r="E163" s="87"/>
      <c r="F163" s="87"/>
      <c r="H163" s="85"/>
      <c r="I163" s="88"/>
      <c r="J163" s="88"/>
      <c r="K163" s="89"/>
    </row>
    <row r="164" hidden="1">
      <c r="A164" s="85"/>
      <c r="B164" s="85"/>
      <c r="C164" s="86"/>
      <c r="D164" s="85"/>
      <c r="E164" s="87"/>
      <c r="F164" s="87"/>
      <c r="H164" s="85"/>
      <c r="I164" s="88"/>
      <c r="J164" s="88"/>
      <c r="K164" s="89"/>
    </row>
    <row r="165" hidden="1">
      <c r="A165" s="85"/>
      <c r="B165" s="85"/>
      <c r="C165" s="86"/>
      <c r="D165" s="85"/>
      <c r="E165" s="87"/>
      <c r="F165" s="87"/>
      <c r="H165" s="85"/>
      <c r="I165" s="88"/>
      <c r="J165" s="88"/>
      <c r="K165" s="89"/>
    </row>
    <row r="166" hidden="1">
      <c r="A166" s="85"/>
      <c r="B166" s="85"/>
      <c r="C166" s="86"/>
      <c r="D166" s="85"/>
      <c r="E166" s="87"/>
      <c r="F166" s="87"/>
      <c r="H166" s="85"/>
      <c r="I166" s="88"/>
      <c r="J166" s="88"/>
      <c r="K166" s="89"/>
    </row>
    <row r="167" hidden="1">
      <c r="A167" s="85"/>
      <c r="B167" s="85"/>
      <c r="C167" s="86"/>
      <c r="D167" s="85"/>
      <c r="E167" s="87"/>
      <c r="F167" s="87"/>
      <c r="H167" s="85"/>
      <c r="I167" s="88"/>
      <c r="J167" s="88"/>
      <c r="K167" s="89"/>
    </row>
    <row r="168" hidden="1">
      <c r="A168" s="85"/>
      <c r="B168" s="85"/>
      <c r="C168" s="86"/>
      <c r="D168" s="85"/>
      <c r="E168" s="87"/>
      <c r="F168" s="87"/>
      <c r="H168" s="85"/>
      <c r="I168" s="88"/>
      <c r="J168" s="88"/>
      <c r="K168" s="89"/>
    </row>
    <row r="169" hidden="1">
      <c r="A169" s="85"/>
      <c r="B169" s="85"/>
      <c r="C169" s="86"/>
      <c r="D169" s="85"/>
      <c r="E169" s="87"/>
      <c r="F169" s="87"/>
      <c r="H169" s="85"/>
      <c r="I169" s="88"/>
      <c r="J169" s="88"/>
      <c r="K169" s="89"/>
    </row>
    <row r="170" hidden="1">
      <c r="A170" s="85"/>
      <c r="B170" s="85"/>
      <c r="C170" s="86"/>
      <c r="D170" s="85"/>
      <c r="E170" s="87"/>
      <c r="F170" s="87"/>
      <c r="H170" s="85"/>
      <c r="I170" s="88"/>
      <c r="J170" s="88"/>
      <c r="K170" s="89"/>
    </row>
    <row r="171" hidden="1">
      <c r="A171" s="85"/>
      <c r="B171" s="85"/>
      <c r="C171" s="86"/>
      <c r="D171" s="85"/>
      <c r="E171" s="87"/>
      <c r="F171" s="87"/>
      <c r="H171" s="85"/>
      <c r="I171" s="88"/>
      <c r="J171" s="88"/>
      <c r="K171" s="89"/>
    </row>
    <row r="172" hidden="1">
      <c r="A172" s="85"/>
      <c r="B172" s="85"/>
      <c r="C172" s="86"/>
      <c r="D172" s="85"/>
      <c r="E172" s="87"/>
      <c r="F172" s="87"/>
      <c r="H172" s="85"/>
      <c r="I172" s="88"/>
      <c r="J172" s="88"/>
      <c r="K172" s="89"/>
    </row>
    <row r="173" hidden="1">
      <c r="A173" s="85"/>
      <c r="B173" s="85"/>
      <c r="C173" s="86"/>
      <c r="D173" s="85"/>
      <c r="E173" s="87"/>
      <c r="F173" s="87"/>
      <c r="H173" s="85"/>
      <c r="I173" s="88"/>
      <c r="J173" s="88"/>
      <c r="K173" s="89"/>
    </row>
    <row r="174" hidden="1">
      <c r="A174" s="85"/>
      <c r="B174" s="85"/>
      <c r="C174" s="86"/>
      <c r="D174" s="85"/>
      <c r="E174" s="87"/>
      <c r="F174" s="87"/>
      <c r="H174" s="85"/>
      <c r="I174" s="88"/>
      <c r="J174" s="88"/>
      <c r="K174" s="89"/>
    </row>
    <row r="175" hidden="1">
      <c r="A175" s="85"/>
      <c r="B175" s="85"/>
      <c r="C175" s="86"/>
      <c r="D175" s="85"/>
      <c r="E175" s="87"/>
      <c r="F175" s="87"/>
      <c r="H175" s="85"/>
      <c r="I175" s="88"/>
      <c r="J175" s="88"/>
      <c r="K175" s="89"/>
    </row>
    <row r="176" hidden="1">
      <c r="A176" s="85"/>
      <c r="B176" s="85"/>
      <c r="C176" s="86"/>
      <c r="D176" s="85"/>
      <c r="E176" s="87"/>
      <c r="F176" s="87"/>
      <c r="H176" s="85"/>
      <c r="I176" s="88"/>
      <c r="J176" s="88"/>
      <c r="K176" s="89"/>
    </row>
    <row r="177" hidden="1">
      <c r="A177" s="85"/>
      <c r="B177" s="85"/>
      <c r="C177" s="86"/>
      <c r="D177" s="85"/>
      <c r="E177" s="87"/>
      <c r="F177" s="87"/>
      <c r="H177" s="85"/>
      <c r="I177" s="88"/>
      <c r="J177" s="88"/>
      <c r="K177" s="89"/>
    </row>
    <row r="178" hidden="1">
      <c r="A178" s="85"/>
      <c r="B178" s="85"/>
      <c r="C178" s="86"/>
      <c r="D178" s="85"/>
      <c r="E178" s="87"/>
      <c r="F178" s="87"/>
      <c r="H178" s="85"/>
      <c r="I178" s="88"/>
      <c r="J178" s="88"/>
      <c r="K178" s="89"/>
    </row>
    <row r="179" hidden="1">
      <c r="A179" s="85"/>
      <c r="B179" s="85"/>
      <c r="C179" s="86"/>
      <c r="D179" s="85"/>
      <c r="E179" s="87"/>
      <c r="F179" s="87"/>
      <c r="H179" s="85"/>
      <c r="I179" s="88"/>
      <c r="J179" s="88"/>
      <c r="K179" s="89"/>
    </row>
    <row r="180" hidden="1">
      <c r="A180" s="85"/>
      <c r="B180" s="85"/>
      <c r="C180" s="86"/>
      <c r="D180" s="85"/>
      <c r="E180" s="87"/>
      <c r="F180" s="87"/>
      <c r="H180" s="85"/>
      <c r="I180" s="88"/>
      <c r="J180" s="88"/>
      <c r="K180" s="89"/>
    </row>
    <row r="181" hidden="1">
      <c r="A181" s="85"/>
      <c r="B181" s="85"/>
      <c r="C181" s="86"/>
      <c r="D181" s="85"/>
      <c r="E181" s="87"/>
      <c r="F181" s="87"/>
      <c r="H181" s="85"/>
      <c r="I181" s="88"/>
      <c r="J181" s="88"/>
      <c r="K181" s="89"/>
    </row>
    <row r="182" hidden="1">
      <c r="A182" s="85"/>
      <c r="B182" s="85"/>
      <c r="C182" s="86"/>
      <c r="D182" s="85"/>
      <c r="E182" s="87"/>
      <c r="F182" s="87"/>
      <c r="H182" s="85"/>
      <c r="I182" s="88"/>
      <c r="J182" s="88"/>
      <c r="K182" s="89"/>
    </row>
    <row r="183" hidden="1">
      <c r="A183" s="85"/>
      <c r="B183" s="85"/>
      <c r="C183" s="86"/>
      <c r="D183" s="85"/>
      <c r="E183" s="87"/>
      <c r="F183" s="87"/>
      <c r="H183" s="85"/>
      <c r="I183" s="88"/>
      <c r="J183" s="88"/>
      <c r="K183" s="89"/>
    </row>
    <row r="184" hidden="1">
      <c r="A184" s="85"/>
      <c r="B184" s="85"/>
      <c r="C184" s="86"/>
      <c r="D184" s="85"/>
      <c r="E184" s="87"/>
      <c r="F184" s="87"/>
      <c r="H184" s="85"/>
      <c r="I184" s="88"/>
      <c r="J184" s="88"/>
      <c r="K184" s="89"/>
    </row>
    <row r="185" hidden="1">
      <c r="A185" s="85"/>
      <c r="B185" s="85"/>
      <c r="C185" s="86"/>
      <c r="D185" s="85"/>
      <c r="E185" s="87"/>
      <c r="F185" s="87"/>
      <c r="H185" s="85"/>
      <c r="I185" s="88"/>
      <c r="J185" s="88"/>
      <c r="K185" s="89"/>
    </row>
    <row r="186" hidden="1">
      <c r="A186" s="85"/>
      <c r="B186" s="85"/>
      <c r="C186" s="86"/>
      <c r="D186" s="85"/>
      <c r="E186" s="87"/>
      <c r="F186" s="87"/>
      <c r="H186" s="85"/>
      <c r="I186" s="88"/>
      <c r="J186" s="88"/>
      <c r="K186" s="89"/>
    </row>
    <row r="187" hidden="1">
      <c r="A187" s="85"/>
      <c r="B187" s="85"/>
      <c r="C187" s="86"/>
      <c r="D187" s="85"/>
      <c r="E187" s="87"/>
      <c r="F187" s="87"/>
      <c r="H187" s="85"/>
      <c r="I187" s="88"/>
      <c r="J187" s="88"/>
      <c r="K187" s="89"/>
    </row>
    <row r="188" hidden="1">
      <c r="A188" s="85"/>
      <c r="B188" s="85"/>
      <c r="C188" s="86"/>
      <c r="D188" s="85"/>
      <c r="E188" s="87"/>
      <c r="F188" s="87"/>
      <c r="H188" s="85"/>
      <c r="I188" s="88"/>
      <c r="J188" s="88"/>
      <c r="K188" s="89"/>
    </row>
    <row r="189" hidden="1">
      <c r="A189" s="85"/>
      <c r="B189" s="85"/>
      <c r="C189" s="86"/>
      <c r="D189" s="85"/>
      <c r="E189" s="87"/>
      <c r="F189" s="87"/>
      <c r="H189" s="85"/>
      <c r="I189" s="88"/>
      <c r="J189" s="88"/>
      <c r="K189" s="89"/>
    </row>
    <row r="190" hidden="1">
      <c r="A190" s="85"/>
      <c r="B190" s="85"/>
      <c r="C190" s="86"/>
      <c r="D190" s="85"/>
      <c r="E190" s="87"/>
      <c r="F190" s="87"/>
      <c r="H190" s="85"/>
      <c r="I190" s="88"/>
      <c r="J190" s="88"/>
      <c r="K190" s="89"/>
    </row>
    <row r="191" hidden="1">
      <c r="A191" s="85"/>
      <c r="B191" s="85"/>
      <c r="C191" s="86"/>
      <c r="D191" s="85"/>
      <c r="E191" s="87"/>
      <c r="F191" s="87"/>
      <c r="H191" s="85"/>
      <c r="I191" s="88"/>
      <c r="J191" s="88"/>
      <c r="K191" s="89"/>
    </row>
    <row r="192" hidden="1">
      <c r="A192" s="85"/>
      <c r="B192" s="85"/>
      <c r="C192" s="86"/>
      <c r="D192" s="85"/>
      <c r="E192" s="87"/>
      <c r="F192" s="87"/>
      <c r="H192" s="85"/>
      <c r="I192" s="88"/>
      <c r="J192" s="88"/>
      <c r="K192" s="89"/>
    </row>
    <row r="193" hidden="1">
      <c r="A193" s="85"/>
      <c r="B193" s="85"/>
      <c r="C193" s="86"/>
      <c r="D193" s="85"/>
      <c r="E193" s="87"/>
      <c r="F193" s="87"/>
      <c r="H193" s="85"/>
      <c r="I193" s="88"/>
      <c r="J193" s="88"/>
      <c r="K193" s="89"/>
    </row>
    <row r="194" hidden="1">
      <c r="A194" s="85"/>
      <c r="B194" s="85"/>
      <c r="C194" s="86"/>
      <c r="D194" s="85"/>
      <c r="E194" s="87"/>
      <c r="F194" s="87"/>
      <c r="H194" s="85"/>
      <c r="I194" s="88"/>
      <c r="J194" s="88"/>
      <c r="K194" s="89"/>
    </row>
    <row r="195" hidden="1">
      <c r="A195" s="85"/>
      <c r="B195" s="85"/>
      <c r="C195" s="86"/>
      <c r="D195" s="85"/>
      <c r="E195" s="87"/>
      <c r="F195" s="87"/>
      <c r="H195" s="85"/>
      <c r="I195" s="88"/>
      <c r="J195" s="88"/>
      <c r="K195" s="89"/>
    </row>
    <row r="196" hidden="1">
      <c r="A196" s="85"/>
      <c r="B196" s="85"/>
      <c r="C196" s="86"/>
      <c r="D196" s="85"/>
      <c r="E196" s="87"/>
      <c r="F196" s="87"/>
      <c r="H196" s="85"/>
      <c r="I196" s="88"/>
      <c r="J196" s="88"/>
      <c r="K196" s="89"/>
    </row>
    <row r="197" hidden="1">
      <c r="A197" s="85"/>
      <c r="B197" s="85"/>
      <c r="C197" s="86"/>
      <c r="D197" s="85"/>
      <c r="E197" s="87"/>
      <c r="F197" s="87"/>
      <c r="H197" s="85"/>
      <c r="I197" s="88"/>
      <c r="J197" s="88"/>
      <c r="K197" s="89"/>
    </row>
    <row r="198" hidden="1">
      <c r="A198" s="85"/>
      <c r="B198" s="85"/>
      <c r="C198" s="86"/>
      <c r="D198" s="85"/>
      <c r="E198" s="87"/>
      <c r="F198" s="87"/>
      <c r="H198" s="85"/>
      <c r="I198" s="88"/>
      <c r="J198" s="88"/>
      <c r="K198" s="89"/>
    </row>
    <row r="199" hidden="1">
      <c r="A199" s="85"/>
      <c r="B199" s="85"/>
      <c r="C199" s="86"/>
      <c r="D199" s="85"/>
      <c r="E199" s="87"/>
      <c r="F199" s="87"/>
      <c r="H199" s="85"/>
      <c r="I199" s="88"/>
      <c r="J199" s="88"/>
      <c r="K199" s="89"/>
    </row>
    <row r="200" hidden="1">
      <c r="A200" s="85"/>
      <c r="B200" s="85"/>
      <c r="C200" s="86"/>
      <c r="D200" s="85"/>
      <c r="E200" s="87"/>
      <c r="F200" s="87"/>
      <c r="H200" s="85"/>
      <c r="I200" s="88"/>
      <c r="J200" s="88"/>
      <c r="K200" s="89"/>
    </row>
    <row r="201" hidden="1">
      <c r="A201" s="85"/>
      <c r="B201" s="85"/>
      <c r="C201" s="86"/>
      <c r="D201" s="85"/>
      <c r="E201" s="87"/>
      <c r="F201" s="87"/>
      <c r="H201" s="85"/>
      <c r="I201" s="88"/>
      <c r="J201" s="88"/>
      <c r="K201" s="89"/>
    </row>
    <row r="202" hidden="1">
      <c r="A202" s="85"/>
      <c r="B202" s="85"/>
      <c r="C202" s="86"/>
      <c r="D202" s="85"/>
      <c r="E202" s="87"/>
      <c r="F202" s="87"/>
      <c r="H202" s="85"/>
      <c r="I202" s="88"/>
      <c r="J202" s="88"/>
      <c r="K202" s="89"/>
    </row>
    <row r="203" hidden="1">
      <c r="A203" s="85"/>
      <c r="B203" s="85"/>
      <c r="C203" s="86"/>
      <c r="D203" s="85"/>
      <c r="E203" s="87"/>
      <c r="F203" s="87"/>
      <c r="H203" s="85"/>
      <c r="I203" s="88"/>
      <c r="J203" s="88"/>
      <c r="K203" s="89"/>
    </row>
    <row r="204" hidden="1">
      <c r="A204" s="85"/>
      <c r="B204" s="85"/>
      <c r="C204" s="86"/>
      <c r="D204" s="85"/>
      <c r="E204" s="87"/>
      <c r="F204" s="87"/>
      <c r="H204" s="85"/>
      <c r="I204" s="88"/>
      <c r="J204" s="88"/>
      <c r="K204" s="89"/>
    </row>
    <row r="205" hidden="1">
      <c r="A205" s="85"/>
      <c r="B205" s="85"/>
      <c r="C205" s="86"/>
      <c r="D205" s="85"/>
      <c r="E205" s="87"/>
      <c r="F205" s="87"/>
      <c r="H205" s="85"/>
      <c r="I205" s="88"/>
      <c r="J205" s="88"/>
      <c r="K205" s="89"/>
    </row>
    <row r="206" hidden="1">
      <c r="A206" s="85"/>
      <c r="B206" s="85"/>
      <c r="C206" s="86"/>
      <c r="D206" s="85"/>
      <c r="E206" s="87"/>
      <c r="F206" s="87"/>
      <c r="H206" s="85"/>
      <c r="I206" s="88"/>
      <c r="J206" s="88"/>
      <c r="K206" s="89"/>
    </row>
    <row r="207" hidden="1">
      <c r="A207" s="85"/>
      <c r="B207" s="85"/>
      <c r="C207" s="86"/>
      <c r="D207" s="85"/>
      <c r="E207" s="87"/>
      <c r="F207" s="87"/>
      <c r="H207" s="85"/>
      <c r="I207" s="88"/>
      <c r="J207" s="88"/>
      <c r="K207" s="89"/>
    </row>
    <row r="208" hidden="1">
      <c r="A208" s="85"/>
      <c r="B208" s="85"/>
      <c r="C208" s="86"/>
      <c r="D208" s="85"/>
      <c r="E208" s="87"/>
      <c r="F208" s="87"/>
      <c r="H208" s="85"/>
      <c r="I208" s="88"/>
      <c r="J208" s="88"/>
      <c r="K208" s="89"/>
    </row>
    <row r="209" hidden="1">
      <c r="A209" s="85"/>
      <c r="B209" s="85"/>
      <c r="C209" s="86"/>
      <c r="D209" s="85"/>
      <c r="E209" s="87"/>
      <c r="F209" s="87"/>
      <c r="H209" s="85"/>
      <c r="I209" s="88"/>
      <c r="J209" s="88"/>
      <c r="K209" s="89"/>
    </row>
    <row r="210" hidden="1">
      <c r="A210" s="85"/>
      <c r="B210" s="85"/>
      <c r="C210" s="86"/>
      <c r="D210" s="85"/>
      <c r="E210" s="87"/>
      <c r="F210" s="87"/>
      <c r="H210" s="85"/>
      <c r="I210" s="88"/>
      <c r="J210" s="88"/>
      <c r="K210" s="89"/>
    </row>
    <row r="211" hidden="1">
      <c r="A211" s="85"/>
      <c r="B211" s="85"/>
      <c r="C211" s="86"/>
      <c r="D211" s="85"/>
      <c r="E211" s="87"/>
      <c r="F211" s="87"/>
      <c r="H211" s="85"/>
      <c r="I211" s="88"/>
      <c r="J211" s="88"/>
      <c r="K211" s="89"/>
    </row>
    <row r="212" hidden="1">
      <c r="A212" s="85"/>
      <c r="B212" s="85"/>
      <c r="C212" s="86"/>
      <c r="D212" s="85"/>
      <c r="E212" s="87"/>
      <c r="F212" s="87"/>
      <c r="H212" s="85"/>
      <c r="I212" s="88"/>
      <c r="J212" s="88"/>
      <c r="K212" s="89"/>
    </row>
    <row r="213" hidden="1">
      <c r="A213" s="85"/>
      <c r="B213" s="85"/>
      <c r="C213" s="86"/>
      <c r="D213" s="85"/>
      <c r="E213" s="87"/>
      <c r="F213" s="87"/>
      <c r="H213" s="85"/>
      <c r="I213" s="88"/>
      <c r="J213" s="88"/>
      <c r="K213" s="89"/>
    </row>
    <row r="214" hidden="1">
      <c r="A214" s="85"/>
      <c r="B214" s="85"/>
      <c r="C214" s="86"/>
      <c r="D214" s="85"/>
      <c r="E214" s="87"/>
      <c r="F214" s="87"/>
      <c r="H214" s="85"/>
      <c r="I214" s="88"/>
      <c r="J214" s="88"/>
      <c r="K214" s="89"/>
    </row>
    <row r="215" hidden="1">
      <c r="A215" s="85"/>
      <c r="B215" s="85"/>
      <c r="C215" s="86"/>
      <c r="D215" s="85"/>
      <c r="E215" s="87"/>
      <c r="F215" s="87"/>
      <c r="H215" s="85"/>
      <c r="I215" s="88"/>
      <c r="J215" s="88"/>
      <c r="K215" s="89"/>
    </row>
    <row r="216" hidden="1">
      <c r="A216" s="85"/>
      <c r="B216" s="85"/>
      <c r="C216" s="86"/>
      <c r="D216" s="85"/>
      <c r="E216" s="87"/>
      <c r="F216" s="87"/>
      <c r="H216" s="85"/>
      <c r="I216" s="88"/>
      <c r="J216" s="88"/>
      <c r="K216" s="89"/>
    </row>
    <row r="217" hidden="1">
      <c r="A217" s="85"/>
      <c r="B217" s="85"/>
      <c r="C217" s="86"/>
      <c r="D217" s="85"/>
      <c r="E217" s="87"/>
      <c r="F217" s="87"/>
      <c r="H217" s="85"/>
      <c r="I217" s="88"/>
      <c r="J217" s="88"/>
      <c r="K217" s="89"/>
    </row>
    <row r="218" hidden="1">
      <c r="A218" s="85"/>
      <c r="B218" s="85"/>
      <c r="C218" s="86"/>
      <c r="D218" s="85"/>
      <c r="E218" s="87"/>
      <c r="F218" s="87"/>
      <c r="H218" s="85"/>
      <c r="I218" s="88"/>
      <c r="J218" s="88"/>
      <c r="K218" s="89"/>
    </row>
    <row r="219" hidden="1">
      <c r="A219" s="85"/>
      <c r="B219" s="85"/>
      <c r="C219" s="86"/>
      <c r="D219" s="85"/>
      <c r="E219" s="87"/>
      <c r="F219" s="87"/>
      <c r="H219" s="85"/>
      <c r="I219" s="88"/>
      <c r="J219" s="88"/>
      <c r="K219" s="89"/>
    </row>
    <row r="220" hidden="1">
      <c r="A220" s="85"/>
      <c r="B220" s="85"/>
      <c r="C220" s="86"/>
      <c r="D220" s="85"/>
      <c r="E220" s="87"/>
      <c r="F220" s="87"/>
      <c r="H220" s="85"/>
      <c r="I220" s="88"/>
      <c r="J220" s="88"/>
      <c r="K220" s="89"/>
    </row>
    <row r="221" hidden="1">
      <c r="A221" s="85"/>
      <c r="B221" s="85"/>
      <c r="C221" s="86"/>
      <c r="D221" s="85"/>
      <c r="E221" s="87"/>
      <c r="F221" s="87"/>
      <c r="H221" s="85"/>
      <c r="I221" s="88"/>
      <c r="J221" s="88"/>
      <c r="K221" s="89"/>
    </row>
    <row r="222" hidden="1">
      <c r="A222" s="85"/>
      <c r="B222" s="85"/>
      <c r="C222" s="86"/>
      <c r="D222" s="85"/>
      <c r="E222" s="87"/>
      <c r="F222" s="87"/>
      <c r="H222" s="85"/>
      <c r="I222" s="88"/>
      <c r="J222" s="88"/>
      <c r="K222" s="89"/>
    </row>
    <row r="223" hidden="1">
      <c r="A223" s="85"/>
      <c r="B223" s="85"/>
      <c r="C223" s="86"/>
      <c r="D223" s="85"/>
      <c r="E223" s="87"/>
      <c r="F223" s="87"/>
      <c r="H223" s="85"/>
      <c r="I223" s="88"/>
      <c r="J223" s="88"/>
      <c r="K223" s="89"/>
    </row>
    <row r="224" hidden="1">
      <c r="A224" s="85"/>
      <c r="B224" s="85"/>
      <c r="C224" s="86"/>
      <c r="D224" s="85"/>
      <c r="E224" s="87"/>
      <c r="F224" s="87"/>
      <c r="H224" s="85"/>
      <c r="I224" s="88"/>
      <c r="J224" s="88"/>
      <c r="K224" s="89"/>
    </row>
    <row r="225" hidden="1">
      <c r="A225" s="85"/>
      <c r="B225" s="85"/>
      <c r="C225" s="86"/>
      <c r="D225" s="85"/>
      <c r="E225" s="87"/>
      <c r="F225" s="87"/>
      <c r="H225" s="85"/>
      <c r="I225" s="88"/>
      <c r="J225" s="88"/>
      <c r="K225" s="89"/>
    </row>
    <row r="226" hidden="1">
      <c r="A226" s="85"/>
      <c r="B226" s="85"/>
      <c r="C226" s="86"/>
      <c r="D226" s="85"/>
      <c r="E226" s="87"/>
      <c r="F226" s="87"/>
      <c r="H226" s="85"/>
      <c r="I226" s="88"/>
      <c r="J226" s="88"/>
      <c r="K226" s="89"/>
    </row>
    <row r="227" hidden="1">
      <c r="A227" s="85"/>
      <c r="B227" s="85"/>
      <c r="C227" s="86"/>
      <c r="D227" s="85"/>
      <c r="E227" s="87"/>
      <c r="F227" s="87"/>
      <c r="H227" s="85"/>
      <c r="I227" s="88"/>
      <c r="J227" s="88"/>
      <c r="K227" s="89"/>
    </row>
    <row r="228" hidden="1">
      <c r="A228" s="85"/>
      <c r="B228" s="85"/>
      <c r="C228" s="86"/>
      <c r="D228" s="85"/>
      <c r="E228" s="87"/>
      <c r="F228" s="87"/>
      <c r="H228" s="85"/>
      <c r="I228" s="88"/>
      <c r="J228" s="88"/>
      <c r="K228" s="89"/>
    </row>
    <row r="229" hidden="1">
      <c r="A229" s="85"/>
      <c r="B229" s="85"/>
      <c r="C229" s="86"/>
      <c r="D229" s="85"/>
      <c r="E229" s="87"/>
      <c r="F229" s="87"/>
      <c r="H229" s="85"/>
      <c r="I229" s="88"/>
      <c r="J229" s="88"/>
      <c r="K229" s="89"/>
    </row>
    <row r="230" hidden="1">
      <c r="A230" s="85"/>
      <c r="B230" s="85"/>
      <c r="C230" s="86"/>
      <c r="D230" s="85"/>
      <c r="E230" s="87"/>
      <c r="F230" s="87"/>
      <c r="H230" s="85"/>
      <c r="I230" s="88"/>
      <c r="J230" s="88"/>
      <c r="K230" s="89"/>
    </row>
    <row r="231" hidden="1">
      <c r="A231" s="85"/>
      <c r="B231" s="85"/>
      <c r="C231" s="86"/>
      <c r="D231" s="85"/>
      <c r="E231" s="87"/>
      <c r="F231" s="87"/>
      <c r="H231" s="85"/>
      <c r="I231" s="88"/>
      <c r="J231" s="88"/>
      <c r="K231" s="89"/>
    </row>
    <row r="232" hidden="1">
      <c r="A232" s="85"/>
      <c r="B232" s="85"/>
      <c r="C232" s="86"/>
      <c r="D232" s="85"/>
      <c r="E232" s="87"/>
      <c r="F232" s="87"/>
      <c r="H232" s="85"/>
      <c r="I232" s="88"/>
      <c r="J232" s="88"/>
      <c r="K232" s="89"/>
    </row>
    <row r="233" hidden="1">
      <c r="A233" s="85"/>
      <c r="B233" s="85"/>
      <c r="C233" s="86"/>
      <c r="D233" s="85"/>
      <c r="E233" s="87"/>
      <c r="F233" s="87"/>
      <c r="H233" s="85"/>
      <c r="I233" s="88"/>
      <c r="J233" s="88"/>
      <c r="K233" s="89"/>
    </row>
    <row r="234" hidden="1">
      <c r="A234" s="85"/>
      <c r="B234" s="85"/>
      <c r="C234" s="86"/>
      <c r="D234" s="85"/>
      <c r="E234" s="87"/>
      <c r="F234" s="87"/>
      <c r="H234" s="85"/>
      <c r="I234" s="88"/>
      <c r="J234" s="88"/>
      <c r="K234" s="89"/>
    </row>
    <row r="235" hidden="1">
      <c r="A235" s="85"/>
      <c r="B235" s="85"/>
      <c r="C235" s="86"/>
      <c r="D235" s="85"/>
      <c r="E235" s="87"/>
      <c r="F235" s="87"/>
      <c r="H235" s="85"/>
      <c r="I235" s="88"/>
      <c r="J235" s="88"/>
      <c r="K235" s="89"/>
    </row>
    <row r="236" hidden="1">
      <c r="A236" s="85"/>
      <c r="B236" s="85"/>
      <c r="C236" s="86"/>
      <c r="D236" s="85"/>
      <c r="E236" s="87"/>
      <c r="F236" s="87"/>
      <c r="H236" s="85"/>
      <c r="I236" s="88"/>
      <c r="J236" s="88"/>
      <c r="K236" s="89"/>
    </row>
    <row r="237" hidden="1">
      <c r="A237" s="85"/>
      <c r="B237" s="85"/>
      <c r="C237" s="86"/>
      <c r="D237" s="85"/>
      <c r="E237" s="87"/>
      <c r="F237" s="87"/>
      <c r="H237" s="85"/>
      <c r="I237" s="88"/>
      <c r="J237" s="88"/>
      <c r="K237" s="89"/>
    </row>
    <row r="238" hidden="1">
      <c r="A238" s="85"/>
      <c r="B238" s="85"/>
      <c r="C238" s="86"/>
      <c r="D238" s="85"/>
      <c r="E238" s="87"/>
      <c r="F238" s="87"/>
      <c r="H238" s="85"/>
      <c r="I238" s="88"/>
      <c r="J238" s="88"/>
      <c r="K238" s="89"/>
    </row>
    <row r="239" hidden="1">
      <c r="A239" s="85"/>
      <c r="B239" s="85"/>
      <c r="C239" s="86"/>
      <c r="D239" s="85"/>
      <c r="E239" s="87"/>
      <c r="F239" s="87"/>
      <c r="H239" s="85"/>
      <c r="I239" s="88"/>
      <c r="J239" s="88"/>
      <c r="K239" s="89"/>
    </row>
    <row r="240" hidden="1">
      <c r="A240" s="85"/>
      <c r="B240" s="85"/>
      <c r="C240" s="86"/>
      <c r="D240" s="85"/>
      <c r="E240" s="87"/>
      <c r="F240" s="87"/>
      <c r="H240" s="85"/>
      <c r="I240" s="88"/>
      <c r="J240" s="88"/>
      <c r="K240" s="89"/>
    </row>
    <row r="241" hidden="1">
      <c r="A241" s="85"/>
      <c r="B241" s="85"/>
      <c r="C241" s="86"/>
      <c r="D241" s="85"/>
      <c r="E241" s="87"/>
      <c r="F241" s="87"/>
      <c r="H241" s="85"/>
      <c r="I241" s="88"/>
      <c r="J241" s="88"/>
      <c r="K241" s="89"/>
    </row>
    <row r="242" hidden="1">
      <c r="A242" s="85"/>
      <c r="B242" s="85"/>
      <c r="C242" s="86"/>
      <c r="D242" s="85"/>
      <c r="E242" s="87"/>
      <c r="F242" s="87"/>
      <c r="H242" s="85"/>
      <c r="I242" s="88"/>
      <c r="J242" s="88"/>
      <c r="K242" s="89"/>
    </row>
    <row r="243" hidden="1">
      <c r="A243" s="85"/>
      <c r="B243" s="85"/>
      <c r="C243" s="86"/>
      <c r="D243" s="85"/>
      <c r="E243" s="87"/>
      <c r="F243" s="87"/>
      <c r="H243" s="85"/>
      <c r="I243" s="88"/>
      <c r="J243" s="88"/>
      <c r="K243" s="89"/>
    </row>
    <row r="244" hidden="1">
      <c r="A244" s="85"/>
      <c r="B244" s="85"/>
      <c r="C244" s="86"/>
      <c r="D244" s="85"/>
      <c r="E244" s="87"/>
      <c r="F244" s="87"/>
      <c r="H244" s="85"/>
      <c r="I244" s="88"/>
      <c r="J244" s="88"/>
      <c r="K244" s="89"/>
    </row>
    <row r="245" hidden="1">
      <c r="A245" s="85"/>
      <c r="B245" s="85"/>
      <c r="C245" s="86"/>
      <c r="D245" s="85"/>
      <c r="E245" s="87"/>
      <c r="F245" s="87"/>
      <c r="H245" s="85"/>
      <c r="I245" s="88"/>
      <c r="J245" s="88"/>
      <c r="K245" s="89"/>
    </row>
    <row r="246" hidden="1">
      <c r="A246" s="85"/>
      <c r="B246" s="85"/>
      <c r="C246" s="86"/>
      <c r="D246" s="85"/>
      <c r="E246" s="87"/>
      <c r="F246" s="87"/>
      <c r="H246" s="85"/>
      <c r="I246" s="88"/>
      <c r="J246" s="88"/>
      <c r="K246" s="89"/>
    </row>
    <row r="247" hidden="1">
      <c r="A247" s="85"/>
      <c r="B247" s="85"/>
      <c r="C247" s="86"/>
      <c r="D247" s="85"/>
      <c r="E247" s="87"/>
      <c r="F247" s="87"/>
      <c r="H247" s="85"/>
      <c r="I247" s="88"/>
      <c r="J247" s="88"/>
      <c r="K247" s="89"/>
    </row>
    <row r="248" hidden="1">
      <c r="A248" s="85"/>
      <c r="B248" s="85"/>
      <c r="C248" s="86"/>
      <c r="D248" s="85"/>
      <c r="E248" s="87"/>
      <c r="F248" s="87"/>
      <c r="H248" s="85"/>
      <c r="I248" s="88"/>
      <c r="J248" s="88"/>
      <c r="K248" s="89"/>
    </row>
    <row r="249" hidden="1">
      <c r="A249" s="85"/>
      <c r="B249" s="85"/>
      <c r="C249" s="86"/>
      <c r="D249" s="85"/>
      <c r="E249" s="87"/>
      <c r="F249" s="87"/>
      <c r="H249" s="85"/>
      <c r="I249" s="88"/>
      <c r="J249" s="88"/>
      <c r="K249" s="89"/>
    </row>
    <row r="250" hidden="1">
      <c r="A250" s="85"/>
      <c r="B250" s="85"/>
      <c r="C250" s="86"/>
      <c r="D250" s="85"/>
      <c r="E250" s="87"/>
      <c r="F250" s="87"/>
      <c r="H250" s="85"/>
      <c r="I250" s="88"/>
      <c r="J250" s="88"/>
      <c r="K250" s="89"/>
    </row>
    <row r="251" hidden="1">
      <c r="A251" s="85"/>
      <c r="B251" s="85"/>
      <c r="C251" s="86"/>
      <c r="D251" s="85"/>
      <c r="E251" s="87"/>
      <c r="F251" s="87"/>
      <c r="H251" s="85"/>
      <c r="I251" s="88"/>
      <c r="J251" s="88"/>
      <c r="K251" s="89"/>
    </row>
    <row r="252" hidden="1">
      <c r="A252" s="85"/>
      <c r="B252" s="85"/>
      <c r="C252" s="86"/>
      <c r="D252" s="85"/>
      <c r="E252" s="87"/>
      <c r="F252" s="87"/>
      <c r="H252" s="85"/>
      <c r="I252" s="88"/>
      <c r="J252" s="88"/>
      <c r="K252" s="89"/>
    </row>
    <row r="253" hidden="1">
      <c r="A253" s="85"/>
      <c r="B253" s="85"/>
      <c r="C253" s="86"/>
      <c r="D253" s="85"/>
      <c r="E253" s="87"/>
      <c r="F253" s="87"/>
      <c r="H253" s="85"/>
      <c r="I253" s="88"/>
      <c r="J253" s="88"/>
      <c r="K253" s="89"/>
    </row>
    <row r="254" hidden="1">
      <c r="A254" s="85"/>
      <c r="B254" s="85"/>
      <c r="C254" s="86"/>
      <c r="D254" s="85"/>
      <c r="E254" s="87"/>
      <c r="F254" s="87"/>
      <c r="H254" s="85"/>
      <c r="I254" s="88"/>
      <c r="J254" s="88"/>
      <c r="K254" s="89"/>
    </row>
    <row r="255" hidden="1">
      <c r="A255" s="85"/>
      <c r="B255" s="85"/>
      <c r="C255" s="86"/>
      <c r="D255" s="85"/>
      <c r="E255" s="87"/>
      <c r="F255" s="87"/>
      <c r="H255" s="85"/>
      <c r="I255" s="88"/>
      <c r="J255" s="88"/>
      <c r="K255" s="89"/>
    </row>
    <row r="256" hidden="1">
      <c r="A256" s="85"/>
      <c r="B256" s="85"/>
      <c r="C256" s="86"/>
      <c r="D256" s="85"/>
      <c r="E256" s="87"/>
      <c r="F256" s="87"/>
      <c r="H256" s="85"/>
      <c r="I256" s="88"/>
      <c r="J256" s="88"/>
      <c r="K256" s="89"/>
    </row>
    <row r="257" hidden="1">
      <c r="A257" s="85"/>
      <c r="B257" s="85"/>
      <c r="C257" s="86"/>
      <c r="D257" s="85"/>
      <c r="E257" s="87"/>
      <c r="F257" s="87"/>
      <c r="H257" s="85"/>
      <c r="I257" s="88"/>
      <c r="J257" s="88"/>
      <c r="K257" s="89"/>
    </row>
    <row r="258" hidden="1">
      <c r="A258" s="85"/>
      <c r="B258" s="85"/>
      <c r="C258" s="86"/>
      <c r="D258" s="85"/>
      <c r="E258" s="87"/>
      <c r="F258" s="87"/>
      <c r="H258" s="85"/>
      <c r="I258" s="88"/>
      <c r="J258" s="88"/>
      <c r="K258" s="89"/>
    </row>
    <row r="259" hidden="1">
      <c r="A259" s="85"/>
      <c r="B259" s="85"/>
      <c r="C259" s="86"/>
      <c r="D259" s="85"/>
      <c r="E259" s="87"/>
      <c r="F259" s="87"/>
      <c r="H259" s="85"/>
      <c r="I259" s="88"/>
      <c r="J259" s="88"/>
      <c r="K259" s="89"/>
    </row>
    <row r="260" hidden="1">
      <c r="A260" s="85"/>
      <c r="B260" s="85"/>
      <c r="C260" s="86"/>
      <c r="D260" s="85"/>
      <c r="E260" s="87"/>
      <c r="F260" s="87"/>
      <c r="H260" s="85"/>
      <c r="I260" s="88"/>
      <c r="J260" s="88"/>
      <c r="K260" s="89"/>
    </row>
    <row r="261" hidden="1">
      <c r="A261" s="85"/>
      <c r="B261" s="85"/>
      <c r="C261" s="86"/>
      <c r="D261" s="85"/>
      <c r="E261" s="87"/>
      <c r="F261" s="87"/>
      <c r="H261" s="85"/>
      <c r="I261" s="88"/>
      <c r="J261" s="88"/>
      <c r="K261" s="89"/>
    </row>
    <row r="262" hidden="1">
      <c r="A262" s="85"/>
      <c r="B262" s="85"/>
      <c r="C262" s="86"/>
      <c r="D262" s="85"/>
      <c r="E262" s="87"/>
      <c r="F262" s="87"/>
      <c r="H262" s="85"/>
      <c r="I262" s="88"/>
      <c r="J262" s="88"/>
      <c r="K262" s="89"/>
    </row>
    <row r="263" hidden="1">
      <c r="A263" s="85"/>
      <c r="B263" s="85"/>
      <c r="C263" s="86"/>
      <c r="D263" s="85"/>
      <c r="E263" s="87"/>
      <c r="F263" s="87"/>
      <c r="H263" s="85"/>
      <c r="I263" s="88"/>
      <c r="J263" s="88"/>
      <c r="K263" s="89"/>
    </row>
    <row r="264" hidden="1">
      <c r="A264" s="85"/>
      <c r="B264" s="85"/>
      <c r="C264" s="86"/>
      <c r="D264" s="85"/>
      <c r="E264" s="87"/>
      <c r="F264" s="87"/>
      <c r="H264" s="85"/>
      <c r="I264" s="88"/>
      <c r="J264" s="88"/>
      <c r="K264" s="89"/>
    </row>
    <row r="265" hidden="1">
      <c r="A265" s="85"/>
      <c r="B265" s="85"/>
      <c r="C265" s="86"/>
      <c r="D265" s="85"/>
      <c r="E265" s="87"/>
      <c r="F265" s="87"/>
      <c r="H265" s="85"/>
      <c r="I265" s="88"/>
      <c r="J265" s="88"/>
      <c r="K265" s="89"/>
    </row>
    <row r="266" hidden="1">
      <c r="A266" s="85"/>
      <c r="B266" s="85"/>
      <c r="C266" s="86"/>
      <c r="D266" s="85"/>
      <c r="E266" s="87"/>
      <c r="F266" s="87"/>
      <c r="H266" s="85"/>
      <c r="I266" s="88"/>
      <c r="J266" s="88"/>
      <c r="K266" s="89"/>
    </row>
    <row r="267" hidden="1">
      <c r="A267" s="85"/>
      <c r="B267" s="85"/>
      <c r="C267" s="86"/>
      <c r="D267" s="85"/>
      <c r="E267" s="87"/>
      <c r="F267" s="87"/>
      <c r="H267" s="85"/>
      <c r="I267" s="88"/>
      <c r="J267" s="88"/>
      <c r="K267" s="89"/>
    </row>
    <row r="268" hidden="1">
      <c r="A268" s="85"/>
      <c r="B268" s="85"/>
      <c r="C268" s="86"/>
      <c r="D268" s="85"/>
      <c r="E268" s="87"/>
      <c r="F268" s="87"/>
      <c r="H268" s="85"/>
      <c r="I268" s="88"/>
      <c r="J268" s="88"/>
      <c r="K268" s="89"/>
    </row>
    <row r="269" hidden="1">
      <c r="A269" s="85"/>
      <c r="B269" s="85"/>
      <c r="C269" s="86"/>
      <c r="D269" s="85"/>
      <c r="E269" s="87"/>
      <c r="F269" s="87"/>
      <c r="H269" s="85"/>
      <c r="I269" s="88"/>
      <c r="J269" s="88"/>
      <c r="K269" s="89"/>
    </row>
    <row r="270" hidden="1">
      <c r="A270" s="85"/>
      <c r="B270" s="85"/>
      <c r="C270" s="86"/>
      <c r="D270" s="85"/>
      <c r="E270" s="87"/>
      <c r="F270" s="87"/>
      <c r="H270" s="85"/>
      <c r="I270" s="88"/>
      <c r="J270" s="88"/>
      <c r="K270" s="89"/>
    </row>
    <row r="271" hidden="1">
      <c r="A271" s="85"/>
      <c r="B271" s="85"/>
      <c r="C271" s="86"/>
      <c r="D271" s="85"/>
      <c r="E271" s="87"/>
      <c r="F271" s="87"/>
      <c r="H271" s="85"/>
      <c r="I271" s="88"/>
      <c r="J271" s="88"/>
      <c r="K271" s="89"/>
    </row>
    <row r="272" hidden="1">
      <c r="A272" s="85"/>
      <c r="B272" s="85"/>
      <c r="C272" s="86"/>
      <c r="D272" s="85"/>
      <c r="E272" s="87"/>
      <c r="F272" s="87"/>
      <c r="H272" s="85"/>
      <c r="I272" s="88"/>
      <c r="J272" s="88"/>
      <c r="K272" s="89"/>
    </row>
    <row r="273" hidden="1">
      <c r="A273" s="85"/>
      <c r="B273" s="85"/>
      <c r="C273" s="86"/>
      <c r="D273" s="85"/>
      <c r="E273" s="87"/>
      <c r="F273" s="87"/>
      <c r="H273" s="85"/>
      <c r="I273" s="88"/>
      <c r="J273" s="88"/>
      <c r="K273" s="89"/>
    </row>
    <row r="274" hidden="1">
      <c r="A274" s="85"/>
      <c r="B274" s="85"/>
      <c r="C274" s="86"/>
      <c r="D274" s="85"/>
      <c r="E274" s="87"/>
      <c r="F274" s="87"/>
      <c r="H274" s="85"/>
      <c r="I274" s="88"/>
      <c r="J274" s="88"/>
      <c r="K274" s="89"/>
    </row>
    <row r="275" hidden="1">
      <c r="A275" s="85"/>
      <c r="B275" s="85"/>
      <c r="C275" s="86"/>
      <c r="D275" s="85"/>
      <c r="E275" s="87"/>
      <c r="F275" s="87"/>
      <c r="H275" s="85"/>
      <c r="I275" s="88"/>
      <c r="J275" s="88"/>
      <c r="K275" s="89"/>
    </row>
    <row r="276" hidden="1">
      <c r="A276" s="85"/>
      <c r="B276" s="85"/>
      <c r="C276" s="86"/>
      <c r="D276" s="85"/>
      <c r="E276" s="87"/>
      <c r="F276" s="87"/>
      <c r="H276" s="85"/>
      <c r="I276" s="88"/>
      <c r="J276" s="88"/>
      <c r="K276" s="89"/>
    </row>
    <row r="277" hidden="1">
      <c r="A277" s="85"/>
      <c r="B277" s="85"/>
      <c r="C277" s="86"/>
      <c r="D277" s="85"/>
      <c r="E277" s="87"/>
      <c r="F277" s="87"/>
      <c r="H277" s="85"/>
      <c r="I277" s="88"/>
      <c r="J277" s="88"/>
      <c r="K277" s="89"/>
    </row>
    <row r="278" hidden="1">
      <c r="A278" s="85"/>
      <c r="B278" s="85"/>
      <c r="C278" s="86"/>
      <c r="D278" s="85"/>
      <c r="E278" s="87"/>
      <c r="F278" s="87"/>
      <c r="H278" s="85"/>
      <c r="I278" s="88"/>
      <c r="J278" s="88"/>
      <c r="K278" s="89"/>
    </row>
    <row r="279" hidden="1">
      <c r="A279" s="85"/>
      <c r="B279" s="85"/>
      <c r="C279" s="86"/>
      <c r="D279" s="85"/>
      <c r="E279" s="87"/>
      <c r="F279" s="87"/>
      <c r="H279" s="85"/>
      <c r="I279" s="88"/>
      <c r="J279" s="88"/>
      <c r="K279" s="89"/>
    </row>
    <row r="280" hidden="1">
      <c r="A280" s="85"/>
      <c r="B280" s="85"/>
      <c r="C280" s="86"/>
      <c r="D280" s="85"/>
      <c r="E280" s="87"/>
      <c r="F280" s="87"/>
      <c r="H280" s="85"/>
      <c r="I280" s="88"/>
      <c r="J280" s="88"/>
      <c r="K280" s="89"/>
    </row>
    <row r="281" hidden="1">
      <c r="A281" s="85"/>
      <c r="B281" s="85"/>
      <c r="C281" s="86"/>
      <c r="D281" s="85"/>
      <c r="E281" s="87"/>
      <c r="F281" s="87"/>
      <c r="H281" s="85"/>
      <c r="I281" s="88"/>
      <c r="J281" s="88"/>
      <c r="K281" s="89"/>
    </row>
    <row r="282" hidden="1">
      <c r="A282" s="85"/>
      <c r="B282" s="85"/>
      <c r="C282" s="86"/>
      <c r="D282" s="85"/>
      <c r="E282" s="87"/>
      <c r="F282" s="87"/>
      <c r="H282" s="85"/>
      <c r="I282" s="88"/>
      <c r="J282" s="88"/>
      <c r="K282" s="89"/>
    </row>
    <row r="283" hidden="1">
      <c r="A283" s="85"/>
      <c r="B283" s="85"/>
      <c r="C283" s="86"/>
      <c r="D283" s="85"/>
      <c r="E283" s="87"/>
      <c r="F283" s="87"/>
      <c r="H283" s="85"/>
      <c r="I283" s="88"/>
      <c r="J283" s="88"/>
      <c r="K283" s="89"/>
    </row>
    <row r="284" hidden="1">
      <c r="A284" s="85"/>
      <c r="B284" s="85"/>
      <c r="C284" s="86"/>
      <c r="D284" s="85"/>
      <c r="E284" s="87"/>
      <c r="F284" s="87"/>
      <c r="H284" s="85"/>
      <c r="I284" s="88"/>
      <c r="J284" s="88"/>
      <c r="K284" s="89"/>
    </row>
    <row r="285" hidden="1">
      <c r="A285" s="85"/>
      <c r="B285" s="85"/>
      <c r="C285" s="86"/>
      <c r="D285" s="85"/>
      <c r="E285" s="87"/>
      <c r="F285" s="87"/>
      <c r="H285" s="85"/>
      <c r="I285" s="88"/>
      <c r="J285" s="88"/>
      <c r="K285" s="89"/>
    </row>
    <row r="286" hidden="1">
      <c r="A286" s="85"/>
      <c r="B286" s="85"/>
      <c r="C286" s="86"/>
      <c r="D286" s="85"/>
      <c r="E286" s="87"/>
      <c r="F286" s="87"/>
      <c r="H286" s="85"/>
      <c r="I286" s="88"/>
      <c r="J286" s="88"/>
      <c r="K286" s="89"/>
    </row>
    <row r="287" hidden="1">
      <c r="A287" s="85"/>
      <c r="B287" s="85"/>
      <c r="C287" s="86"/>
      <c r="D287" s="85"/>
      <c r="E287" s="87"/>
      <c r="F287" s="87"/>
      <c r="H287" s="85"/>
      <c r="I287" s="88"/>
      <c r="J287" s="88"/>
      <c r="K287" s="89"/>
    </row>
    <row r="288" hidden="1">
      <c r="A288" s="85"/>
      <c r="B288" s="85"/>
      <c r="C288" s="86"/>
      <c r="D288" s="85"/>
      <c r="E288" s="87"/>
      <c r="F288" s="87"/>
      <c r="H288" s="85"/>
      <c r="I288" s="88"/>
      <c r="J288" s="88"/>
      <c r="K288" s="89"/>
    </row>
    <row r="289" hidden="1">
      <c r="A289" s="85"/>
      <c r="B289" s="85"/>
      <c r="C289" s="86"/>
      <c r="D289" s="85"/>
      <c r="E289" s="87"/>
      <c r="F289" s="87"/>
      <c r="H289" s="85"/>
      <c r="I289" s="88"/>
      <c r="J289" s="88"/>
      <c r="K289" s="89"/>
    </row>
    <row r="290" hidden="1">
      <c r="A290" s="85"/>
      <c r="B290" s="85"/>
      <c r="C290" s="86"/>
      <c r="D290" s="85"/>
      <c r="E290" s="87"/>
      <c r="F290" s="87"/>
      <c r="H290" s="85"/>
      <c r="I290" s="88"/>
      <c r="J290" s="88"/>
      <c r="K290" s="89"/>
    </row>
    <row r="291" hidden="1">
      <c r="A291" s="85"/>
      <c r="B291" s="85"/>
      <c r="C291" s="86"/>
      <c r="D291" s="85"/>
      <c r="E291" s="87"/>
      <c r="F291" s="87"/>
      <c r="H291" s="85"/>
      <c r="I291" s="88"/>
      <c r="J291" s="88"/>
      <c r="K291" s="89"/>
    </row>
    <row r="292" hidden="1">
      <c r="A292" s="85"/>
      <c r="B292" s="85"/>
      <c r="C292" s="86"/>
      <c r="D292" s="85"/>
      <c r="E292" s="87"/>
      <c r="F292" s="87"/>
      <c r="H292" s="85"/>
      <c r="I292" s="88"/>
      <c r="J292" s="88"/>
      <c r="K292" s="89"/>
    </row>
    <row r="293" hidden="1">
      <c r="A293" s="85"/>
      <c r="B293" s="85"/>
      <c r="C293" s="86"/>
      <c r="D293" s="85"/>
      <c r="E293" s="87"/>
      <c r="F293" s="87"/>
      <c r="H293" s="85"/>
      <c r="I293" s="88"/>
      <c r="J293" s="88"/>
      <c r="K293" s="89"/>
    </row>
    <row r="294" hidden="1">
      <c r="A294" s="85"/>
      <c r="B294" s="85"/>
      <c r="C294" s="86"/>
      <c r="D294" s="85"/>
      <c r="E294" s="87"/>
      <c r="F294" s="87"/>
      <c r="H294" s="85"/>
      <c r="I294" s="88"/>
      <c r="J294" s="88"/>
      <c r="K294" s="89"/>
    </row>
    <row r="295" hidden="1">
      <c r="A295" s="85"/>
      <c r="B295" s="85"/>
      <c r="C295" s="86"/>
      <c r="D295" s="85"/>
      <c r="E295" s="87"/>
      <c r="F295" s="87"/>
      <c r="H295" s="85"/>
      <c r="I295" s="88"/>
      <c r="J295" s="88"/>
      <c r="K295" s="89"/>
    </row>
    <row r="296" hidden="1">
      <c r="A296" s="85"/>
      <c r="B296" s="85"/>
      <c r="C296" s="86"/>
      <c r="D296" s="85"/>
      <c r="E296" s="87"/>
      <c r="F296" s="87"/>
      <c r="H296" s="85"/>
      <c r="I296" s="88"/>
      <c r="J296" s="88"/>
      <c r="K296" s="89"/>
    </row>
    <row r="297" hidden="1">
      <c r="A297" s="85"/>
      <c r="B297" s="85"/>
      <c r="C297" s="86"/>
      <c r="D297" s="85"/>
      <c r="E297" s="87"/>
      <c r="F297" s="87"/>
      <c r="H297" s="85"/>
      <c r="I297" s="88"/>
      <c r="J297" s="88"/>
      <c r="K297" s="89"/>
    </row>
    <row r="298" hidden="1">
      <c r="A298" s="85"/>
      <c r="B298" s="85"/>
      <c r="C298" s="86"/>
      <c r="D298" s="85"/>
      <c r="E298" s="87"/>
      <c r="F298" s="87"/>
      <c r="H298" s="85"/>
      <c r="I298" s="88"/>
      <c r="J298" s="88"/>
      <c r="K298" s="89"/>
    </row>
    <row r="299" hidden="1">
      <c r="A299" s="85"/>
      <c r="B299" s="85"/>
      <c r="C299" s="86"/>
      <c r="D299" s="85"/>
      <c r="E299" s="87"/>
      <c r="F299" s="87"/>
      <c r="H299" s="85"/>
      <c r="I299" s="88"/>
      <c r="J299" s="88"/>
      <c r="K299" s="89"/>
    </row>
    <row r="300" hidden="1">
      <c r="A300" s="85"/>
      <c r="B300" s="85"/>
      <c r="C300" s="86"/>
      <c r="D300" s="85"/>
      <c r="E300" s="87"/>
      <c r="F300" s="87"/>
      <c r="H300" s="85"/>
      <c r="I300" s="88"/>
      <c r="J300" s="88"/>
      <c r="K300" s="89"/>
    </row>
    <row r="301" hidden="1">
      <c r="A301" s="85"/>
      <c r="B301" s="85"/>
      <c r="C301" s="86"/>
      <c r="D301" s="85"/>
      <c r="E301" s="87"/>
      <c r="F301" s="87"/>
      <c r="H301" s="85"/>
      <c r="I301" s="88"/>
      <c r="J301" s="88"/>
      <c r="K301" s="89"/>
    </row>
    <row r="302" hidden="1">
      <c r="A302" s="85"/>
      <c r="B302" s="85"/>
      <c r="C302" s="86"/>
      <c r="D302" s="85"/>
      <c r="E302" s="87"/>
      <c r="F302" s="87"/>
      <c r="H302" s="85"/>
      <c r="I302" s="88"/>
      <c r="J302" s="88"/>
      <c r="K302" s="89"/>
    </row>
    <row r="303" hidden="1">
      <c r="A303" s="85"/>
      <c r="B303" s="85"/>
      <c r="C303" s="86"/>
      <c r="D303" s="85"/>
      <c r="E303" s="87"/>
      <c r="F303" s="87"/>
      <c r="H303" s="85"/>
      <c r="I303" s="88"/>
      <c r="J303" s="88"/>
      <c r="K303" s="89"/>
    </row>
    <row r="304" hidden="1">
      <c r="A304" s="85"/>
      <c r="B304" s="85"/>
      <c r="C304" s="86"/>
      <c r="D304" s="85"/>
      <c r="E304" s="87"/>
      <c r="F304" s="87"/>
      <c r="H304" s="85"/>
      <c r="I304" s="88"/>
      <c r="J304" s="88"/>
      <c r="K304" s="89"/>
    </row>
    <row r="305" hidden="1">
      <c r="A305" s="85"/>
      <c r="B305" s="85"/>
      <c r="C305" s="86"/>
      <c r="D305" s="85"/>
      <c r="E305" s="87"/>
      <c r="F305" s="87"/>
      <c r="H305" s="85"/>
      <c r="I305" s="88"/>
      <c r="J305" s="88"/>
      <c r="K305" s="89"/>
    </row>
    <row r="306" hidden="1">
      <c r="A306" s="85"/>
      <c r="B306" s="85"/>
      <c r="C306" s="86"/>
      <c r="D306" s="85"/>
      <c r="E306" s="87"/>
      <c r="F306" s="87"/>
      <c r="H306" s="85"/>
      <c r="I306" s="88"/>
      <c r="J306" s="88"/>
      <c r="K306" s="89"/>
    </row>
    <row r="307" hidden="1">
      <c r="A307" s="85"/>
      <c r="B307" s="85"/>
      <c r="C307" s="86"/>
      <c r="D307" s="85"/>
      <c r="E307" s="87"/>
      <c r="F307" s="87"/>
      <c r="H307" s="85"/>
      <c r="I307" s="88"/>
      <c r="J307" s="88"/>
      <c r="K307" s="89"/>
    </row>
    <row r="308" hidden="1">
      <c r="A308" s="85"/>
      <c r="B308" s="85"/>
      <c r="C308" s="86"/>
      <c r="D308" s="85"/>
      <c r="E308" s="87"/>
      <c r="F308" s="87"/>
      <c r="H308" s="85"/>
      <c r="I308" s="88"/>
      <c r="J308" s="88"/>
      <c r="K308" s="89"/>
    </row>
    <row r="309" hidden="1">
      <c r="A309" s="85"/>
      <c r="B309" s="85"/>
      <c r="C309" s="86"/>
      <c r="D309" s="85"/>
      <c r="E309" s="87"/>
      <c r="F309" s="87"/>
      <c r="H309" s="85"/>
      <c r="I309" s="88"/>
      <c r="J309" s="88"/>
      <c r="K309" s="89"/>
    </row>
    <row r="310" hidden="1">
      <c r="A310" s="85"/>
      <c r="B310" s="85"/>
      <c r="C310" s="86"/>
      <c r="D310" s="85"/>
      <c r="E310" s="87"/>
      <c r="F310" s="87"/>
      <c r="H310" s="85"/>
      <c r="I310" s="88"/>
      <c r="J310" s="88"/>
      <c r="K310" s="89"/>
    </row>
    <row r="311" hidden="1">
      <c r="A311" s="85"/>
      <c r="B311" s="85"/>
      <c r="C311" s="86"/>
      <c r="D311" s="85"/>
      <c r="E311" s="87"/>
      <c r="F311" s="87"/>
      <c r="H311" s="85"/>
      <c r="I311" s="88"/>
      <c r="J311" s="88"/>
      <c r="K311" s="89"/>
    </row>
    <row r="312" hidden="1">
      <c r="A312" s="85"/>
      <c r="B312" s="85"/>
      <c r="C312" s="86"/>
      <c r="D312" s="85"/>
      <c r="E312" s="87"/>
      <c r="F312" s="87"/>
      <c r="H312" s="85"/>
      <c r="I312" s="88"/>
      <c r="J312" s="88"/>
      <c r="K312" s="89"/>
    </row>
    <row r="313" hidden="1">
      <c r="A313" s="85"/>
      <c r="B313" s="85"/>
      <c r="C313" s="86"/>
      <c r="D313" s="85"/>
      <c r="E313" s="87"/>
      <c r="F313" s="87"/>
      <c r="H313" s="85"/>
      <c r="I313" s="88"/>
      <c r="J313" s="88"/>
      <c r="K313" s="89"/>
    </row>
    <row r="314" hidden="1">
      <c r="A314" s="85"/>
      <c r="B314" s="85"/>
      <c r="C314" s="86"/>
      <c r="D314" s="85"/>
      <c r="E314" s="87"/>
      <c r="F314" s="87"/>
      <c r="H314" s="85"/>
      <c r="I314" s="88"/>
      <c r="J314" s="88"/>
      <c r="K314" s="89"/>
    </row>
    <row r="315" hidden="1">
      <c r="A315" s="85"/>
      <c r="B315" s="85"/>
      <c r="C315" s="86"/>
      <c r="D315" s="85"/>
      <c r="E315" s="87"/>
      <c r="F315" s="87"/>
      <c r="H315" s="85"/>
      <c r="I315" s="88"/>
      <c r="J315" s="88"/>
      <c r="K315" s="89"/>
    </row>
    <row r="316" hidden="1">
      <c r="A316" s="85"/>
      <c r="B316" s="85"/>
      <c r="C316" s="86"/>
      <c r="D316" s="85"/>
      <c r="E316" s="87"/>
      <c r="F316" s="87"/>
      <c r="H316" s="85"/>
      <c r="I316" s="88"/>
      <c r="J316" s="88"/>
      <c r="K316" s="89"/>
    </row>
    <row r="317" hidden="1">
      <c r="A317" s="85"/>
      <c r="B317" s="85"/>
      <c r="C317" s="86"/>
      <c r="D317" s="85"/>
      <c r="E317" s="87"/>
      <c r="F317" s="87"/>
      <c r="H317" s="85"/>
      <c r="I317" s="88"/>
      <c r="J317" s="88"/>
      <c r="K317" s="89"/>
    </row>
    <row r="318" hidden="1">
      <c r="A318" s="85"/>
      <c r="B318" s="85"/>
      <c r="C318" s="86"/>
      <c r="D318" s="85"/>
      <c r="E318" s="87"/>
      <c r="F318" s="87"/>
      <c r="H318" s="85"/>
      <c r="I318" s="88"/>
      <c r="J318" s="88"/>
      <c r="K318" s="89"/>
    </row>
    <row r="319" hidden="1">
      <c r="A319" s="85"/>
      <c r="B319" s="85"/>
      <c r="C319" s="86"/>
      <c r="D319" s="85"/>
      <c r="E319" s="87"/>
      <c r="F319" s="87"/>
      <c r="H319" s="85"/>
      <c r="I319" s="88"/>
      <c r="J319" s="88"/>
      <c r="K319" s="89"/>
    </row>
    <row r="320" hidden="1">
      <c r="A320" s="85"/>
      <c r="B320" s="85"/>
      <c r="C320" s="86"/>
      <c r="D320" s="85"/>
      <c r="E320" s="87"/>
      <c r="F320" s="87"/>
      <c r="H320" s="85"/>
      <c r="I320" s="88"/>
      <c r="J320" s="88"/>
      <c r="K320" s="89"/>
    </row>
    <row r="321" hidden="1">
      <c r="A321" s="85"/>
      <c r="B321" s="85"/>
      <c r="C321" s="86"/>
      <c r="D321" s="85"/>
      <c r="E321" s="87"/>
      <c r="F321" s="87"/>
      <c r="H321" s="85"/>
      <c r="I321" s="88"/>
      <c r="J321" s="88"/>
      <c r="K321" s="89"/>
    </row>
    <row r="322" hidden="1">
      <c r="A322" s="85"/>
      <c r="B322" s="85"/>
      <c r="C322" s="86"/>
      <c r="D322" s="85"/>
      <c r="E322" s="87"/>
      <c r="F322" s="87"/>
      <c r="H322" s="85"/>
      <c r="I322" s="88"/>
      <c r="J322" s="88"/>
      <c r="K322" s="89"/>
    </row>
    <row r="323" hidden="1">
      <c r="A323" s="85"/>
      <c r="B323" s="85"/>
      <c r="C323" s="86"/>
      <c r="D323" s="85"/>
      <c r="E323" s="87"/>
      <c r="F323" s="87"/>
      <c r="H323" s="85"/>
      <c r="I323" s="88"/>
      <c r="J323" s="88"/>
      <c r="K323" s="89"/>
    </row>
    <row r="324" hidden="1">
      <c r="A324" s="85"/>
      <c r="B324" s="85"/>
      <c r="C324" s="86"/>
      <c r="D324" s="85"/>
      <c r="E324" s="87"/>
      <c r="F324" s="87"/>
      <c r="H324" s="85"/>
      <c r="I324" s="88"/>
      <c r="J324" s="88"/>
      <c r="K324" s="89"/>
    </row>
    <row r="325" hidden="1">
      <c r="A325" s="85"/>
      <c r="B325" s="85"/>
      <c r="C325" s="86"/>
      <c r="D325" s="85"/>
      <c r="E325" s="87"/>
      <c r="F325" s="87"/>
      <c r="H325" s="85"/>
      <c r="I325" s="88"/>
      <c r="J325" s="88"/>
      <c r="K325" s="89"/>
    </row>
    <row r="326" hidden="1">
      <c r="A326" s="85"/>
      <c r="B326" s="85"/>
      <c r="C326" s="86"/>
      <c r="D326" s="85"/>
      <c r="E326" s="87"/>
      <c r="F326" s="87"/>
      <c r="H326" s="85"/>
      <c r="I326" s="88"/>
      <c r="J326" s="88"/>
      <c r="K326" s="89"/>
    </row>
    <row r="327" hidden="1">
      <c r="A327" s="85"/>
      <c r="B327" s="85"/>
      <c r="C327" s="86"/>
      <c r="D327" s="85"/>
      <c r="E327" s="87"/>
      <c r="F327" s="87"/>
      <c r="H327" s="85"/>
      <c r="I327" s="88"/>
      <c r="J327" s="88"/>
      <c r="K327" s="89"/>
    </row>
    <row r="328" hidden="1">
      <c r="A328" s="85"/>
      <c r="B328" s="85"/>
      <c r="C328" s="86"/>
      <c r="D328" s="85"/>
      <c r="E328" s="87"/>
      <c r="F328" s="87"/>
      <c r="H328" s="85"/>
      <c r="I328" s="88"/>
      <c r="J328" s="88"/>
      <c r="K328" s="89"/>
    </row>
    <row r="329" hidden="1">
      <c r="A329" s="85"/>
      <c r="B329" s="85"/>
      <c r="C329" s="86"/>
      <c r="D329" s="85"/>
      <c r="E329" s="87"/>
      <c r="F329" s="87"/>
      <c r="H329" s="85"/>
      <c r="I329" s="88"/>
      <c r="J329" s="88"/>
      <c r="K329" s="89"/>
    </row>
    <row r="330" hidden="1">
      <c r="A330" s="85"/>
      <c r="B330" s="85"/>
      <c r="C330" s="86"/>
      <c r="D330" s="85"/>
      <c r="E330" s="87"/>
      <c r="F330" s="87"/>
      <c r="H330" s="85"/>
      <c r="I330" s="88"/>
      <c r="J330" s="88"/>
      <c r="K330" s="89"/>
    </row>
    <row r="331" hidden="1">
      <c r="A331" s="85"/>
      <c r="B331" s="85"/>
      <c r="C331" s="86"/>
      <c r="D331" s="85"/>
      <c r="E331" s="87"/>
      <c r="F331" s="87"/>
      <c r="H331" s="85"/>
      <c r="I331" s="88"/>
      <c r="J331" s="88"/>
      <c r="K331" s="89"/>
    </row>
    <row r="332" hidden="1">
      <c r="A332" s="85"/>
      <c r="B332" s="85"/>
      <c r="C332" s="86"/>
      <c r="D332" s="85"/>
      <c r="E332" s="87"/>
      <c r="F332" s="87"/>
      <c r="H332" s="85"/>
      <c r="I332" s="88"/>
      <c r="J332" s="88"/>
      <c r="K332" s="89"/>
    </row>
    <row r="333" hidden="1">
      <c r="A333" s="85"/>
      <c r="B333" s="85"/>
      <c r="C333" s="86"/>
      <c r="D333" s="85"/>
      <c r="E333" s="87"/>
      <c r="F333" s="87"/>
      <c r="H333" s="85"/>
      <c r="I333" s="88"/>
      <c r="J333" s="88"/>
      <c r="K333" s="89"/>
    </row>
    <row r="334" hidden="1">
      <c r="A334" s="85"/>
      <c r="B334" s="85"/>
      <c r="C334" s="86"/>
      <c r="D334" s="85"/>
      <c r="E334" s="87"/>
      <c r="F334" s="87"/>
      <c r="H334" s="85"/>
      <c r="I334" s="88"/>
      <c r="J334" s="88"/>
      <c r="K334" s="89"/>
    </row>
    <row r="335" hidden="1">
      <c r="A335" s="85"/>
      <c r="B335" s="85"/>
      <c r="C335" s="86"/>
      <c r="D335" s="85"/>
      <c r="E335" s="87"/>
      <c r="F335" s="87"/>
      <c r="H335" s="85"/>
      <c r="I335" s="88"/>
      <c r="J335" s="88"/>
      <c r="K335" s="89"/>
    </row>
    <row r="336" hidden="1">
      <c r="A336" s="85"/>
      <c r="B336" s="85"/>
      <c r="C336" s="86"/>
      <c r="D336" s="85"/>
      <c r="E336" s="87"/>
      <c r="F336" s="87"/>
      <c r="H336" s="85"/>
      <c r="I336" s="88"/>
      <c r="J336" s="88"/>
      <c r="K336" s="89"/>
    </row>
    <row r="337" hidden="1">
      <c r="A337" s="85"/>
      <c r="B337" s="85"/>
      <c r="C337" s="86"/>
      <c r="D337" s="85"/>
      <c r="E337" s="87"/>
      <c r="F337" s="87"/>
      <c r="H337" s="85"/>
      <c r="I337" s="88"/>
      <c r="J337" s="88"/>
      <c r="K337" s="89"/>
    </row>
    <row r="338" hidden="1">
      <c r="A338" s="85"/>
      <c r="B338" s="85"/>
      <c r="C338" s="86"/>
      <c r="D338" s="85"/>
      <c r="E338" s="87"/>
      <c r="F338" s="87"/>
      <c r="H338" s="85"/>
      <c r="I338" s="88"/>
      <c r="J338" s="88"/>
      <c r="K338" s="89"/>
    </row>
    <row r="339" hidden="1">
      <c r="A339" s="85"/>
      <c r="B339" s="85"/>
      <c r="C339" s="86"/>
      <c r="D339" s="85"/>
      <c r="E339" s="87"/>
      <c r="F339" s="87"/>
      <c r="H339" s="85"/>
      <c r="I339" s="88"/>
      <c r="J339" s="88"/>
      <c r="K339" s="89"/>
    </row>
    <row r="340" hidden="1">
      <c r="A340" s="85"/>
      <c r="B340" s="85"/>
      <c r="C340" s="86"/>
      <c r="D340" s="85"/>
      <c r="E340" s="87"/>
      <c r="F340" s="87"/>
      <c r="H340" s="85"/>
      <c r="I340" s="88"/>
      <c r="J340" s="88"/>
      <c r="K340" s="89"/>
    </row>
    <row r="341" hidden="1">
      <c r="A341" s="85"/>
      <c r="B341" s="85"/>
      <c r="C341" s="86"/>
      <c r="D341" s="85"/>
      <c r="E341" s="87"/>
      <c r="F341" s="87"/>
      <c r="H341" s="85"/>
      <c r="I341" s="88"/>
      <c r="J341" s="88"/>
      <c r="K341" s="89"/>
    </row>
    <row r="342" hidden="1">
      <c r="A342" s="85"/>
      <c r="B342" s="85"/>
      <c r="C342" s="86"/>
      <c r="D342" s="85"/>
      <c r="E342" s="87"/>
      <c r="F342" s="87"/>
      <c r="H342" s="85"/>
      <c r="I342" s="88"/>
      <c r="J342" s="88"/>
      <c r="K342" s="89"/>
    </row>
    <row r="343" hidden="1">
      <c r="A343" s="85"/>
      <c r="B343" s="85"/>
      <c r="C343" s="86"/>
      <c r="D343" s="85"/>
      <c r="E343" s="87"/>
      <c r="F343" s="87"/>
      <c r="H343" s="85"/>
      <c r="I343" s="88"/>
      <c r="J343" s="88"/>
      <c r="K343" s="89"/>
    </row>
    <row r="344" hidden="1">
      <c r="A344" s="85"/>
      <c r="B344" s="85"/>
      <c r="C344" s="86"/>
      <c r="D344" s="85"/>
      <c r="E344" s="87"/>
      <c r="F344" s="87"/>
      <c r="H344" s="85"/>
      <c r="I344" s="88"/>
      <c r="J344" s="88"/>
      <c r="K344" s="89"/>
    </row>
    <row r="345" hidden="1">
      <c r="A345" s="85"/>
      <c r="B345" s="85"/>
      <c r="C345" s="86"/>
      <c r="D345" s="85"/>
      <c r="E345" s="87"/>
      <c r="F345" s="87"/>
      <c r="H345" s="85"/>
      <c r="I345" s="88"/>
      <c r="J345" s="88"/>
      <c r="K345" s="89"/>
    </row>
    <row r="346" hidden="1">
      <c r="A346" s="85"/>
      <c r="B346" s="85"/>
      <c r="C346" s="86"/>
      <c r="D346" s="85"/>
      <c r="E346" s="87"/>
      <c r="F346" s="87"/>
      <c r="H346" s="85"/>
      <c r="I346" s="88"/>
      <c r="J346" s="88"/>
      <c r="K346" s="89"/>
    </row>
    <row r="347" hidden="1">
      <c r="A347" s="85"/>
      <c r="B347" s="85"/>
      <c r="C347" s="86"/>
      <c r="D347" s="85"/>
      <c r="E347" s="87"/>
      <c r="F347" s="87"/>
      <c r="H347" s="85"/>
      <c r="I347" s="88"/>
      <c r="J347" s="88"/>
      <c r="K347" s="89"/>
    </row>
    <row r="348" hidden="1">
      <c r="A348" s="85"/>
      <c r="B348" s="85"/>
      <c r="C348" s="86"/>
      <c r="D348" s="85"/>
      <c r="E348" s="87"/>
      <c r="F348" s="87"/>
      <c r="H348" s="85"/>
      <c r="I348" s="88"/>
      <c r="J348" s="88"/>
      <c r="K348" s="89"/>
    </row>
    <row r="349" hidden="1">
      <c r="A349" s="85"/>
      <c r="B349" s="85"/>
      <c r="C349" s="86"/>
      <c r="D349" s="85"/>
      <c r="E349" s="87"/>
      <c r="F349" s="87"/>
      <c r="H349" s="85"/>
      <c r="I349" s="88"/>
      <c r="J349" s="88"/>
      <c r="K349" s="89"/>
    </row>
    <row r="350" hidden="1">
      <c r="A350" s="85"/>
      <c r="B350" s="85"/>
      <c r="C350" s="86"/>
      <c r="D350" s="85"/>
      <c r="E350" s="87"/>
      <c r="F350" s="87"/>
      <c r="H350" s="85"/>
      <c r="I350" s="88"/>
      <c r="J350" s="88"/>
      <c r="K350" s="89"/>
    </row>
    <row r="351" hidden="1">
      <c r="A351" s="85"/>
      <c r="B351" s="85"/>
      <c r="C351" s="86"/>
      <c r="D351" s="85"/>
      <c r="E351" s="87"/>
      <c r="F351" s="87"/>
      <c r="H351" s="85"/>
      <c r="I351" s="88"/>
      <c r="J351" s="88"/>
      <c r="K351" s="89"/>
    </row>
    <row r="352" hidden="1">
      <c r="A352" s="85"/>
      <c r="B352" s="85"/>
      <c r="C352" s="86"/>
      <c r="D352" s="85"/>
      <c r="E352" s="87"/>
      <c r="F352" s="87"/>
      <c r="H352" s="85"/>
      <c r="I352" s="88"/>
      <c r="J352" s="88"/>
      <c r="K352" s="89"/>
    </row>
    <row r="353" hidden="1">
      <c r="A353" s="85"/>
      <c r="B353" s="85"/>
      <c r="C353" s="86"/>
      <c r="D353" s="85"/>
      <c r="E353" s="87"/>
      <c r="F353" s="87"/>
      <c r="H353" s="85"/>
      <c r="I353" s="88"/>
      <c r="J353" s="88"/>
      <c r="K353" s="89"/>
    </row>
    <row r="354" hidden="1">
      <c r="A354" s="85"/>
      <c r="B354" s="85"/>
      <c r="C354" s="86"/>
      <c r="D354" s="85"/>
      <c r="E354" s="87"/>
      <c r="F354" s="87"/>
      <c r="H354" s="85"/>
      <c r="I354" s="88"/>
      <c r="J354" s="88"/>
      <c r="K354" s="89"/>
    </row>
    <row r="355" hidden="1">
      <c r="A355" s="85"/>
      <c r="B355" s="85"/>
      <c r="C355" s="86"/>
      <c r="D355" s="85"/>
      <c r="E355" s="87"/>
      <c r="F355" s="87"/>
      <c r="H355" s="85"/>
      <c r="I355" s="88"/>
      <c r="J355" s="88"/>
      <c r="K355" s="89"/>
    </row>
    <row r="356" hidden="1">
      <c r="A356" s="85"/>
      <c r="B356" s="85"/>
      <c r="C356" s="86"/>
      <c r="D356" s="85"/>
      <c r="E356" s="87"/>
      <c r="F356" s="87"/>
      <c r="H356" s="85"/>
      <c r="I356" s="88"/>
      <c r="J356" s="88"/>
      <c r="K356" s="89"/>
    </row>
    <row r="357" hidden="1">
      <c r="A357" s="85"/>
      <c r="B357" s="85"/>
      <c r="C357" s="86"/>
      <c r="D357" s="85"/>
      <c r="E357" s="87"/>
      <c r="F357" s="87"/>
      <c r="H357" s="85"/>
      <c r="I357" s="88"/>
      <c r="J357" s="88"/>
      <c r="K357" s="89"/>
    </row>
    <row r="358" hidden="1">
      <c r="A358" s="85"/>
      <c r="B358" s="85"/>
      <c r="C358" s="86"/>
      <c r="D358" s="85"/>
      <c r="E358" s="87"/>
      <c r="F358" s="87"/>
      <c r="H358" s="85"/>
      <c r="I358" s="88"/>
      <c r="J358" s="88"/>
      <c r="K358" s="89"/>
    </row>
    <row r="359" hidden="1">
      <c r="A359" s="85"/>
      <c r="B359" s="85"/>
      <c r="C359" s="86"/>
      <c r="D359" s="85"/>
      <c r="E359" s="87"/>
      <c r="F359" s="87"/>
      <c r="H359" s="85"/>
      <c r="I359" s="88"/>
      <c r="J359" s="88"/>
      <c r="K359" s="89"/>
    </row>
    <row r="360" hidden="1">
      <c r="A360" s="85"/>
      <c r="B360" s="85"/>
      <c r="C360" s="86"/>
      <c r="D360" s="85"/>
      <c r="E360" s="87"/>
      <c r="F360" s="87"/>
      <c r="H360" s="85"/>
      <c r="I360" s="88"/>
      <c r="J360" s="88"/>
      <c r="K360" s="89"/>
    </row>
    <row r="361" hidden="1">
      <c r="A361" s="85"/>
      <c r="B361" s="85"/>
      <c r="C361" s="86"/>
      <c r="D361" s="85"/>
      <c r="E361" s="87"/>
      <c r="F361" s="87"/>
      <c r="H361" s="85"/>
      <c r="I361" s="88"/>
      <c r="J361" s="88"/>
      <c r="K361" s="89"/>
    </row>
    <row r="362" hidden="1">
      <c r="A362" s="85"/>
      <c r="B362" s="85"/>
      <c r="C362" s="86"/>
      <c r="D362" s="85"/>
      <c r="E362" s="87"/>
      <c r="F362" s="87"/>
      <c r="H362" s="85"/>
      <c r="I362" s="88"/>
      <c r="J362" s="88"/>
      <c r="K362" s="89"/>
    </row>
    <row r="363" hidden="1">
      <c r="A363" s="85"/>
      <c r="B363" s="85"/>
      <c r="C363" s="86"/>
      <c r="D363" s="85"/>
      <c r="E363" s="87"/>
      <c r="F363" s="87"/>
      <c r="H363" s="85"/>
      <c r="I363" s="88"/>
      <c r="J363" s="88"/>
      <c r="K363" s="89"/>
    </row>
    <row r="364" hidden="1">
      <c r="A364" s="85"/>
      <c r="B364" s="85"/>
      <c r="C364" s="86"/>
      <c r="D364" s="85"/>
      <c r="E364" s="87"/>
      <c r="F364" s="87"/>
      <c r="H364" s="85"/>
      <c r="I364" s="88"/>
      <c r="J364" s="88"/>
      <c r="K364" s="89"/>
    </row>
    <row r="365" hidden="1">
      <c r="A365" s="85"/>
      <c r="B365" s="85"/>
      <c r="C365" s="86"/>
      <c r="D365" s="85"/>
      <c r="E365" s="87"/>
      <c r="F365" s="87"/>
      <c r="H365" s="85"/>
      <c r="I365" s="88"/>
      <c r="J365" s="88"/>
      <c r="K365" s="89"/>
    </row>
    <row r="366" hidden="1">
      <c r="A366" s="85"/>
      <c r="B366" s="85"/>
      <c r="C366" s="86"/>
      <c r="D366" s="85"/>
      <c r="E366" s="87"/>
      <c r="F366" s="87"/>
      <c r="H366" s="85"/>
      <c r="I366" s="88"/>
      <c r="J366" s="88"/>
      <c r="K366" s="89"/>
    </row>
    <row r="367" hidden="1">
      <c r="A367" s="85"/>
      <c r="B367" s="85"/>
      <c r="C367" s="86"/>
      <c r="D367" s="85"/>
      <c r="E367" s="87"/>
      <c r="F367" s="87"/>
      <c r="H367" s="85"/>
      <c r="I367" s="88"/>
      <c r="J367" s="88"/>
      <c r="K367" s="89"/>
    </row>
    <row r="368" hidden="1">
      <c r="A368" s="85"/>
      <c r="B368" s="85"/>
      <c r="C368" s="86"/>
      <c r="D368" s="85"/>
      <c r="E368" s="87"/>
      <c r="F368" s="87"/>
      <c r="H368" s="85"/>
      <c r="I368" s="88"/>
      <c r="J368" s="88"/>
      <c r="K368" s="89"/>
    </row>
    <row r="369" hidden="1">
      <c r="A369" s="85"/>
      <c r="B369" s="85"/>
      <c r="C369" s="86"/>
      <c r="D369" s="85"/>
      <c r="E369" s="87"/>
      <c r="F369" s="87"/>
      <c r="H369" s="85"/>
      <c r="I369" s="88"/>
      <c r="J369" s="88"/>
      <c r="K369" s="89"/>
    </row>
    <row r="370" hidden="1">
      <c r="A370" s="85"/>
      <c r="B370" s="85"/>
      <c r="C370" s="86"/>
      <c r="D370" s="85"/>
      <c r="E370" s="87"/>
      <c r="F370" s="87"/>
      <c r="H370" s="85"/>
      <c r="I370" s="88"/>
      <c r="J370" s="88"/>
      <c r="K370" s="89"/>
    </row>
    <row r="371" hidden="1">
      <c r="A371" s="85"/>
      <c r="B371" s="85"/>
      <c r="C371" s="86"/>
      <c r="D371" s="85"/>
      <c r="E371" s="87"/>
      <c r="F371" s="87"/>
      <c r="H371" s="85"/>
      <c r="I371" s="88"/>
      <c r="J371" s="88"/>
      <c r="K371" s="89"/>
    </row>
    <row r="372" hidden="1">
      <c r="A372" s="85"/>
      <c r="B372" s="85"/>
      <c r="C372" s="86"/>
      <c r="D372" s="85"/>
      <c r="E372" s="87"/>
      <c r="F372" s="87"/>
      <c r="H372" s="85"/>
      <c r="I372" s="88"/>
      <c r="J372" s="88"/>
      <c r="K372" s="89"/>
    </row>
    <row r="373" hidden="1">
      <c r="A373" s="85"/>
      <c r="B373" s="85"/>
      <c r="C373" s="86"/>
      <c r="D373" s="85"/>
      <c r="E373" s="87"/>
      <c r="F373" s="87"/>
      <c r="H373" s="85"/>
      <c r="I373" s="88"/>
      <c r="J373" s="88"/>
      <c r="K373" s="89"/>
    </row>
    <row r="374" hidden="1">
      <c r="A374" s="85"/>
      <c r="B374" s="85"/>
      <c r="C374" s="86"/>
      <c r="D374" s="85"/>
      <c r="E374" s="87"/>
      <c r="F374" s="87"/>
      <c r="H374" s="85"/>
      <c r="I374" s="88"/>
      <c r="J374" s="88"/>
      <c r="K374" s="89"/>
    </row>
    <row r="375" hidden="1">
      <c r="A375" s="85"/>
      <c r="B375" s="85"/>
      <c r="C375" s="86"/>
      <c r="D375" s="85"/>
      <c r="E375" s="87"/>
      <c r="F375" s="87"/>
      <c r="H375" s="85"/>
      <c r="I375" s="88"/>
      <c r="J375" s="88"/>
      <c r="K375" s="89"/>
    </row>
    <row r="376" hidden="1">
      <c r="A376" s="85"/>
      <c r="B376" s="85"/>
      <c r="C376" s="86"/>
      <c r="D376" s="85"/>
      <c r="E376" s="87"/>
      <c r="F376" s="87"/>
      <c r="H376" s="85"/>
      <c r="I376" s="88"/>
      <c r="J376" s="88"/>
      <c r="K376" s="89"/>
    </row>
    <row r="377" hidden="1">
      <c r="A377" s="85"/>
      <c r="B377" s="85"/>
      <c r="C377" s="86"/>
      <c r="D377" s="85"/>
      <c r="E377" s="87"/>
      <c r="F377" s="87"/>
      <c r="H377" s="85"/>
      <c r="I377" s="88"/>
      <c r="J377" s="88"/>
      <c r="K377" s="89"/>
    </row>
    <row r="378" hidden="1">
      <c r="A378" s="85"/>
      <c r="B378" s="85"/>
      <c r="C378" s="86"/>
      <c r="D378" s="85"/>
      <c r="E378" s="87"/>
      <c r="F378" s="87"/>
      <c r="H378" s="85"/>
      <c r="I378" s="88"/>
      <c r="J378" s="88"/>
      <c r="K378" s="89"/>
    </row>
    <row r="379" hidden="1">
      <c r="A379" s="85"/>
      <c r="B379" s="85"/>
      <c r="C379" s="86"/>
      <c r="D379" s="85"/>
      <c r="E379" s="87"/>
      <c r="F379" s="87"/>
      <c r="H379" s="85"/>
      <c r="I379" s="88"/>
      <c r="J379" s="88"/>
      <c r="K379" s="89"/>
    </row>
    <row r="380" hidden="1">
      <c r="A380" s="85"/>
      <c r="B380" s="85"/>
      <c r="C380" s="86"/>
      <c r="D380" s="85"/>
      <c r="E380" s="87"/>
      <c r="F380" s="87"/>
      <c r="H380" s="85"/>
      <c r="I380" s="88"/>
      <c r="J380" s="88"/>
      <c r="K380" s="89"/>
    </row>
    <row r="381" hidden="1">
      <c r="A381" s="85"/>
      <c r="B381" s="85"/>
      <c r="C381" s="86"/>
      <c r="D381" s="85"/>
      <c r="E381" s="87"/>
      <c r="F381" s="87"/>
      <c r="H381" s="85"/>
      <c r="I381" s="88"/>
      <c r="J381" s="88"/>
      <c r="K381" s="89"/>
    </row>
    <row r="382" hidden="1">
      <c r="A382" s="85"/>
      <c r="B382" s="85"/>
      <c r="C382" s="86"/>
      <c r="D382" s="85"/>
      <c r="E382" s="87"/>
      <c r="F382" s="87"/>
      <c r="H382" s="85"/>
      <c r="I382" s="88"/>
      <c r="J382" s="88"/>
      <c r="K382" s="89"/>
    </row>
    <row r="383" hidden="1">
      <c r="A383" s="85"/>
      <c r="B383" s="85"/>
      <c r="C383" s="86"/>
      <c r="D383" s="85"/>
      <c r="E383" s="87"/>
      <c r="F383" s="87"/>
      <c r="H383" s="85"/>
      <c r="I383" s="88"/>
      <c r="J383" s="88"/>
      <c r="K383" s="89"/>
    </row>
    <row r="384" hidden="1">
      <c r="A384" s="85"/>
      <c r="B384" s="85"/>
      <c r="C384" s="86"/>
      <c r="D384" s="85"/>
      <c r="E384" s="87"/>
      <c r="F384" s="87"/>
      <c r="H384" s="85"/>
      <c r="I384" s="88"/>
      <c r="J384" s="88"/>
      <c r="K384" s="89"/>
    </row>
    <row r="385" hidden="1">
      <c r="A385" s="85"/>
      <c r="B385" s="85"/>
      <c r="C385" s="86"/>
      <c r="D385" s="85"/>
      <c r="E385" s="87"/>
      <c r="F385" s="87"/>
      <c r="H385" s="85"/>
      <c r="I385" s="88"/>
      <c r="J385" s="88"/>
      <c r="K385" s="89"/>
    </row>
    <row r="386" hidden="1">
      <c r="A386" s="85"/>
      <c r="B386" s="85"/>
      <c r="C386" s="86"/>
      <c r="D386" s="85"/>
      <c r="E386" s="87"/>
      <c r="F386" s="87"/>
      <c r="H386" s="85"/>
      <c r="I386" s="88"/>
      <c r="J386" s="88"/>
      <c r="K386" s="89"/>
    </row>
    <row r="387" hidden="1">
      <c r="A387" s="85"/>
      <c r="B387" s="85"/>
      <c r="C387" s="86"/>
      <c r="D387" s="85"/>
      <c r="E387" s="87"/>
      <c r="F387" s="87"/>
      <c r="H387" s="85"/>
      <c r="I387" s="88"/>
      <c r="J387" s="88"/>
      <c r="K387" s="89"/>
    </row>
    <row r="388" hidden="1">
      <c r="A388" s="85"/>
      <c r="B388" s="85"/>
      <c r="C388" s="86"/>
      <c r="D388" s="85"/>
      <c r="E388" s="87"/>
      <c r="F388" s="87"/>
      <c r="H388" s="85"/>
      <c r="I388" s="88"/>
      <c r="J388" s="88"/>
      <c r="K388" s="89"/>
    </row>
    <row r="389" hidden="1">
      <c r="A389" s="85"/>
      <c r="B389" s="85"/>
      <c r="C389" s="86"/>
      <c r="D389" s="85"/>
      <c r="E389" s="87"/>
      <c r="F389" s="87"/>
      <c r="H389" s="85"/>
      <c r="I389" s="88"/>
      <c r="J389" s="88"/>
      <c r="K389" s="89"/>
    </row>
    <row r="390" hidden="1">
      <c r="A390" s="85"/>
      <c r="B390" s="85"/>
      <c r="C390" s="86"/>
      <c r="D390" s="85"/>
      <c r="E390" s="87"/>
      <c r="F390" s="87"/>
      <c r="H390" s="85"/>
      <c r="I390" s="88"/>
      <c r="J390" s="88"/>
      <c r="K390" s="89"/>
    </row>
    <row r="391" hidden="1">
      <c r="A391" s="85"/>
      <c r="B391" s="85"/>
      <c r="C391" s="86"/>
      <c r="D391" s="85"/>
      <c r="E391" s="87"/>
      <c r="F391" s="87"/>
      <c r="H391" s="85"/>
      <c r="I391" s="88"/>
      <c r="J391" s="88"/>
      <c r="K391" s="89"/>
    </row>
    <row r="392" hidden="1">
      <c r="A392" s="85"/>
      <c r="B392" s="85"/>
      <c r="C392" s="86"/>
      <c r="D392" s="85"/>
      <c r="E392" s="87"/>
      <c r="F392" s="87"/>
      <c r="H392" s="85"/>
      <c r="I392" s="88"/>
      <c r="J392" s="88"/>
      <c r="K392" s="89"/>
    </row>
    <row r="393" hidden="1">
      <c r="A393" s="85"/>
      <c r="B393" s="85"/>
      <c r="C393" s="86"/>
      <c r="D393" s="85"/>
      <c r="E393" s="87"/>
      <c r="F393" s="87"/>
      <c r="H393" s="85"/>
      <c r="I393" s="88"/>
      <c r="J393" s="88"/>
      <c r="K393" s="89"/>
    </row>
    <row r="394" hidden="1">
      <c r="A394" s="85"/>
      <c r="B394" s="85"/>
      <c r="C394" s="86"/>
      <c r="D394" s="85"/>
      <c r="E394" s="87"/>
      <c r="F394" s="87"/>
      <c r="H394" s="85"/>
      <c r="I394" s="88"/>
      <c r="J394" s="88"/>
      <c r="K394" s="89"/>
    </row>
    <row r="395" hidden="1">
      <c r="A395" s="85"/>
      <c r="B395" s="85"/>
      <c r="C395" s="86"/>
      <c r="D395" s="85"/>
      <c r="E395" s="87"/>
      <c r="F395" s="87"/>
      <c r="H395" s="85"/>
      <c r="I395" s="88"/>
      <c r="J395" s="88"/>
      <c r="K395" s="89"/>
    </row>
    <row r="396" hidden="1">
      <c r="A396" s="85"/>
      <c r="B396" s="85"/>
      <c r="C396" s="86"/>
      <c r="D396" s="85"/>
      <c r="E396" s="87"/>
      <c r="F396" s="87"/>
      <c r="H396" s="85"/>
      <c r="I396" s="88"/>
      <c r="J396" s="88"/>
      <c r="K396" s="89"/>
    </row>
    <row r="397" hidden="1">
      <c r="A397" s="85"/>
      <c r="B397" s="85"/>
      <c r="C397" s="86"/>
      <c r="D397" s="85"/>
      <c r="E397" s="87"/>
      <c r="F397" s="87"/>
      <c r="H397" s="85"/>
      <c r="I397" s="88"/>
      <c r="J397" s="88"/>
      <c r="K397" s="89"/>
    </row>
    <row r="398" hidden="1">
      <c r="A398" s="85"/>
      <c r="B398" s="85"/>
      <c r="C398" s="86"/>
      <c r="D398" s="85"/>
      <c r="E398" s="87"/>
      <c r="F398" s="87"/>
      <c r="H398" s="85"/>
      <c r="I398" s="88"/>
      <c r="J398" s="88"/>
      <c r="K398" s="89"/>
    </row>
    <row r="399" hidden="1">
      <c r="A399" s="85"/>
      <c r="B399" s="85"/>
      <c r="C399" s="86"/>
      <c r="D399" s="85"/>
      <c r="E399" s="87"/>
      <c r="F399" s="87"/>
      <c r="H399" s="85"/>
      <c r="I399" s="88"/>
      <c r="J399" s="88"/>
      <c r="K399" s="89"/>
    </row>
    <row r="400" hidden="1">
      <c r="A400" s="85"/>
      <c r="B400" s="85"/>
      <c r="C400" s="86"/>
      <c r="D400" s="85"/>
      <c r="E400" s="87"/>
      <c r="F400" s="87"/>
      <c r="H400" s="85"/>
      <c r="I400" s="88"/>
      <c r="J400" s="88"/>
      <c r="K400" s="89"/>
    </row>
    <row r="401" hidden="1">
      <c r="A401" s="85"/>
      <c r="B401" s="85"/>
      <c r="C401" s="86"/>
      <c r="D401" s="85"/>
      <c r="E401" s="87"/>
      <c r="F401" s="87"/>
      <c r="H401" s="85"/>
      <c r="I401" s="88"/>
      <c r="J401" s="88"/>
      <c r="K401" s="89"/>
    </row>
    <row r="402" hidden="1">
      <c r="A402" s="85"/>
      <c r="B402" s="85"/>
      <c r="C402" s="86"/>
      <c r="D402" s="85"/>
      <c r="E402" s="87"/>
      <c r="F402" s="87"/>
      <c r="H402" s="85"/>
      <c r="I402" s="88"/>
      <c r="J402" s="88"/>
      <c r="K402" s="89"/>
    </row>
    <row r="403" hidden="1">
      <c r="A403" s="85"/>
      <c r="B403" s="85"/>
      <c r="C403" s="86"/>
      <c r="D403" s="85"/>
      <c r="E403" s="87"/>
      <c r="F403" s="87"/>
      <c r="H403" s="85"/>
      <c r="I403" s="88"/>
      <c r="J403" s="88"/>
      <c r="K403" s="89"/>
    </row>
    <row r="404" hidden="1">
      <c r="A404" s="85"/>
      <c r="B404" s="85"/>
      <c r="C404" s="86"/>
      <c r="D404" s="85"/>
      <c r="E404" s="87"/>
      <c r="F404" s="87"/>
      <c r="H404" s="85"/>
      <c r="I404" s="88"/>
      <c r="J404" s="88"/>
      <c r="K404" s="89"/>
    </row>
    <row r="405" hidden="1">
      <c r="A405" s="85"/>
      <c r="B405" s="85"/>
      <c r="C405" s="86"/>
      <c r="D405" s="85"/>
      <c r="E405" s="87"/>
      <c r="F405" s="87"/>
      <c r="H405" s="85"/>
      <c r="I405" s="88"/>
      <c r="J405" s="88"/>
      <c r="K405" s="89"/>
    </row>
    <row r="406" hidden="1">
      <c r="A406" s="85"/>
      <c r="B406" s="85"/>
      <c r="C406" s="86"/>
      <c r="D406" s="85"/>
      <c r="E406" s="87"/>
      <c r="F406" s="87"/>
      <c r="H406" s="85"/>
      <c r="I406" s="88"/>
      <c r="J406" s="88"/>
      <c r="K406" s="89"/>
    </row>
    <row r="407" hidden="1">
      <c r="A407" s="85"/>
      <c r="B407" s="85"/>
      <c r="C407" s="86"/>
      <c r="D407" s="85"/>
      <c r="E407" s="87"/>
      <c r="F407" s="87"/>
      <c r="H407" s="85"/>
      <c r="I407" s="88"/>
      <c r="J407" s="88"/>
      <c r="K407" s="89"/>
    </row>
    <row r="408" hidden="1">
      <c r="A408" s="85"/>
      <c r="B408" s="85"/>
      <c r="C408" s="86"/>
      <c r="D408" s="85"/>
      <c r="E408" s="87"/>
      <c r="F408" s="87"/>
      <c r="H408" s="85"/>
      <c r="I408" s="88"/>
      <c r="J408" s="88"/>
      <c r="K408" s="89"/>
    </row>
    <row r="409" hidden="1">
      <c r="A409" s="85"/>
      <c r="B409" s="85"/>
      <c r="C409" s="86"/>
      <c r="D409" s="85"/>
      <c r="E409" s="87"/>
      <c r="F409" s="87"/>
      <c r="H409" s="85"/>
      <c r="I409" s="88"/>
      <c r="J409" s="88"/>
      <c r="K409" s="89"/>
    </row>
    <row r="410" hidden="1">
      <c r="A410" s="85"/>
      <c r="B410" s="85"/>
      <c r="C410" s="86"/>
      <c r="D410" s="85"/>
      <c r="E410" s="87"/>
      <c r="F410" s="87"/>
      <c r="H410" s="85"/>
      <c r="I410" s="88"/>
      <c r="J410" s="88"/>
      <c r="K410" s="89"/>
    </row>
    <row r="411" hidden="1">
      <c r="A411" s="85"/>
      <c r="B411" s="85"/>
      <c r="C411" s="86"/>
      <c r="D411" s="85"/>
      <c r="E411" s="87"/>
      <c r="F411" s="87"/>
      <c r="H411" s="85"/>
      <c r="I411" s="88"/>
      <c r="J411" s="88"/>
      <c r="K411" s="89"/>
    </row>
    <row r="412" hidden="1">
      <c r="A412" s="85"/>
      <c r="B412" s="85"/>
      <c r="C412" s="86"/>
      <c r="D412" s="85"/>
      <c r="E412" s="87"/>
      <c r="F412" s="87"/>
      <c r="H412" s="85"/>
      <c r="I412" s="88"/>
      <c r="J412" s="88"/>
      <c r="K412" s="89"/>
    </row>
    <row r="413" hidden="1">
      <c r="A413" s="85"/>
      <c r="B413" s="85"/>
      <c r="C413" s="86"/>
      <c r="D413" s="85"/>
      <c r="E413" s="87"/>
      <c r="F413" s="87"/>
      <c r="H413" s="85"/>
      <c r="I413" s="88"/>
      <c r="J413" s="88"/>
      <c r="K413" s="89"/>
    </row>
    <row r="414" hidden="1">
      <c r="A414" s="85"/>
      <c r="B414" s="85"/>
      <c r="C414" s="86"/>
      <c r="D414" s="85"/>
      <c r="E414" s="87"/>
      <c r="F414" s="87"/>
      <c r="H414" s="85"/>
      <c r="I414" s="88"/>
      <c r="J414" s="88"/>
      <c r="K414" s="89"/>
    </row>
    <row r="415" hidden="1">
      <c r="A415" s="85"/>
      <c r="B415" s="85"/>
      <c r="C415" s="86"/>
      <c r="D415" s="85"/>
      <c r="E415" s="87"/>
      <c r="F415" s="87"/>
      <c r="H415" s="85"/>
      <c r="I415" s="88"/>
      <c r="J415" s="88"/>
      <c r="K415" s="89"/>
    </row>
    <row r="416" hidden="1">
      <c r="A416" s="85"/>
      <c r="B416" s="85"/>
      <c r="C416" s="86"/>
      <c r="D416" s="85"/>
      <c r="E416" s="87"/>
      <c r="F416" s="87"/>
      <c r="H416" s="85"/>
      <c r="I416" s="88"/>
      <c r="J416" s="88"/>
      <c r="K416" s="89"/>
    </row>
    <row r="417" hidden="1">
      <c r="A417" s="85"/>
      <c r="B417" s="85"/>
      <c r="C417" s="86"/>
      <c r="D417" s="85"/>
      <c r="E417" s="87"/>
      <c r="F417" s="87"/>
      <c r="H417" s="85"/>
      <c r="I417" s="88"/>
      <c r="J417" s="88"/>
      <c r="K417" s="89"/>
    </row>
    <row r="418" hidden="1">
      <c r="A418" s="85"/>
      <c r="B418" s="85"/>
      <c r="C418" s="86"/>
      <c r="D418" s="85"/>
      <c r="E418" s="87"/>
      <c r="F418" s="87"/>
      <c r="H418" s="85"/>
      <c r="I418" s="88"/>
      <c r="J418" s="88"/>
      <c r="K418" s="89"/>
    </row>
    <row r="419" hidden="1">
      <c r="A419" s="85"/>
      <c r="B419" s="85"/>
      <c r="C419" s="86"/>
      <c r="D419" s="85"/>
      <c r="E419" s="87"/>
      <c r="F419" s="87"/>
      <c r="H419" s="85"/>
      <c r="I419" s="88"/>
      <c r="J419" s="88"/>
      <c r="K419" s="89"/>
    </row>
    <row r="420" hidden="1">
      <c r="A420" s="85"/>
      <c r="B420" s="85"/>
      <c r="C420" s="86"/>
      <c r="D420" s="85"/>
      <c r="E420" s="87"/>
      <c r="F420" s="87"/>
      <c r="H420" s="85"/>
      <c r="I420" s="88"/>
      <c r="J420" s="88"/>
      <c r="K420" s="89"/>
    </row>
    <row r="421" hidden="1">
      <c r="A421" s="85"/>
      <c r="B421" s="85"/>
      <c r="C421" s="86"/>
      <c r="D421" s="85"/>
      <c r="E421" s="87"/>
      <c r="F421" s="87"/>
      <c r="H421" s="85"/>
      <c r="I421" s="88"/>
      <c r="J421" s="88"/>
      <c r="K421" s="89"/>
    </row>
    <row r="422" hidden="1">
      <c r="A422" s="85"/>
      <c r="B422" s="85"/>
      <c r="C422" s="86"/>
      <c r="D422" s="85"/>
      <c r="E422" s="87"/>
      <c r="F422" s="87"/>
      <c r="H422" s="85"/>
      <c r="I422" s="88"/>
      <c r="J422" s="88"/>
      <c r="K422" s="89"/>
    </row>
    <row r="423" hidden="1">
      <c r="A423" s="85"/>
      <c r="B423" s="85"/>
      <c r="C423" s="86"/>
      <c r="D423" s="85"/>
      <c r="E423" s="87"/>
      <c r="F423" s="87"/>
      <c r="H423" s="85"/>
      <c r="I423" s="88"/>
      <c r="J423" s="88"/>
      <c r="K423" s="89"/>
    </row>
    <row r="424" hidden="1">
      <c r="A424" s="85"/>
      <c r="B424" s="85"/>
      <c r="C424" s="86"/>
      <c r="D424" s="85"/>
      <c r="E424" s="87"/>
      <c r="F424" s="87"/>
      <c r="H424" s="85"/>
      <c r="I424" s="88"/>
      <c r="J424" s="88"/>
      <c r="K424" s="89"/>
    </row>
    <row r="425" hidden="1">
      <c r="A425" s="85"/>
      <c r="B425" s="85"/>
      <c r="C425" s="86"/>
      <c r="D425" s="85"/>
      <c r="E425" s="87"/>
      <c r="F425" s="87"/>
      <c r="H425" s="85"/>
      <c r="I425" s="88"/>
      <c r="J425" s="88"/>
      <c r="K425" s="89"/>
    </row>
    <row r="426" hidden="1">
      <c r="A426" s="85"/>
      <c r="B426" s="85"/>
      <c r="C426" s="86"/>
      <c r="D426" s="85"/>
      <c r="E426" s="87"/>
      <c r="F426" s="87"/>
      <c r="H426" s="85"/>
      <c r="I426" s="88"/>
      <c r="J426" s="88"/>
      <c r="K426" s="89"/>
    </row>
    <row r="427" hidden="1">
      <c r="A427" s="85"/>
      <c r="B427" s="85"/>
      <c r="C427" s="86"/>
      <c r="D427" s="85"/>
      <c r="E427" s="87"/>
      <c r="F427" s="87"/>
      <c r="H427" s="85"/>
      <c r="I427" s="88"/>
      <c r="J427" s="88"/>
      <c r="K427" s="89"/>
    </row>
    <row r="428" hidden="1">
      <c r="A428" s="85"/>
      <c r="B428" s="85"/>
      <c r="C428" s="86"/>
      <c r="D428" s="85"/>
      <c r="E428" s="87"/>
      <c r="F428" s="87"/>
      <c r="H428" s="85"/>
      <c r="I428" s="88"/>
      <c r="J428" s="88"/>
      <c r="K428" s="89"/>
    </row>
    <row r="429" hidden="1">
      <c r="A429" s="85"/>
      <c r="B429" s="85"/>
      <c r="C429" s="86"/>
      <c r="D429" s="85"/>
      <c r="E429" s="87"/>
      <c r="F429" s="87"/>
      <c r="H429" s="85"/>
      <c r="I429" s="88"/>
      <c r="J429" s="88"/>
      <c r="K429" s="89"/>
    </row>
    <row r="430" hidden="1">
      <c r="A430" s="85"/>
      <c r="B430" s="85"/>
      <c r="C430" s="86"/>
      <c r="D430" s="85"/>
      <c r="E430" s="87"/>
      <c r="F430" s="87"/>
      <c r="H430" s="85"/>
      <c r="I430" s="88"/>
      <c r="J430" s="88"/>
      <c r="K430" s="89"/>
    </row>
    <row r="431" hidden="1">
      <c r="A431" s="85"/>
      <c r="B431" s="85"/>
      <c r="C431" s="86"/>
      <c r="D431" s="85"/>
      <c r="E431" s="87"/>
      <c r="F431" s="87"/>
      <c r="H431" s="85"/>
      <c r="I431" s="88"/>
      <c r="J431" s="88"/>
      <c r="K431" s="89"/>
    </row>
    <row r="432" hidden="1">
      <c r="A432" s="85"/>
      <c r="B432" s="85"/>
      <c r="C432" s="86"/>
      <c r="D432" s="85"/>
      <c r="E432" s="87"/>
      <c r="F432" s="87"/>
      <c r="H432" s="85"/>
      <c r="I432" s="88"/>
      <c r="J432" s="88"/>
      <c r="K432" s="89"/>
    </row>
    <row r="433" hidden="1">
      <c r="A433" s="85"/>
      <c r="B433" s="85"/>
      <c r="C433" s="86"/>
      <c r="D433" s="85"/>
      <c r="E433" s="87"/>
      <c r="F433" s="87"/>
      <c r="H433" s="85"/>
      <c r="I433" s="88"/>
      <c r="J433" s="88"/>
      <c r="K433" s="89"/>
    </row>
    <row r="434" hidden="1">
      <c r="A434" s="85"/>
      <c r="B434" s="85"/>
      <c r="C434" s="86"/>
      <c r="D434" s="85"/>
      <c r="E434" s="87"/>
      <c r="F434" s="87"/>
      <c r="H434" s="85"/>
      <c r="I434" s="88"/>
      <c r="J434" s="88"/>
      <c r="K434" s="89"/>
    </row>
    <row r="435" hidden="1">
      <c r="A435" s="85"/>
      <c r="B435" s="85"/>
      <c r="C435" s="86"/>
      <c r="D435" s="85"/>
      <c r="E435" s="87"/>
      <c r="F435" s="87"/>
      <c r="H435" s="85"/>
      <c r="I435" s="88"/>
      <c r="J435" s="88"/>
      <c r="K435" s="89"/>
    </row>
    <row r="436" hidden="1">
      <c r="A436" s="85"/>
      <c r="B436" s="85"/>
      <c r="C436" s="86"/>
      <c r="D436" s="85"/>
      <c r="E436" s="87"/>
      <c r="F436" s="87"/>
      <c r="H436" s="85"/>
      <c r="I436" s="88"/>
      <c r="J436" s="88"/>
      <c r="K436" s="89"/>
    </row>
    <row r="437" hidden="1">
      <c r="A437" s="85"/>
      <c r="B437" s="85"/>
      <c r="C437" s="86"/>
      <c r="D437" s="85"/>
      <c r="E437" s="87"/>
      <c r="F437" s="87"/>
      <c r="H437" s="85"/>
      <c r="I437" s="88"/>
      <c r="J437" s="88"/>
      <c r="K437" s="89"/>
    </row>
    <row r="438" hidden="1">
      <c r="A438" s="85"/>
      <c r="B438" s="85"/>
      <c r="C438" s="86"/>
      <c r="D438" s="85"/>
      <c r="E438" s="87"/>
      <c r="F438" s="87"/>
      <c r="H438" s="85"/>
      <c r="I438" s="88"/>
      <c r="J438" s="88"/>
      <c r="K438" s="89"/>
    </row>
    <row r="439" hidden="1">
      <c r="A439" s="85"/>
      <c r="B439" s="85"/>
      <c r="C439" s="86"/>
      <c r="D439" s="85"/>
      <c r="E439" s="87"/>
      <c r="F439" s="87"/>
      <c r="H439" s="85"/>
      <c r="I439" s="88"/>
      <c r="J439" s="88"/>
      <c r="K439" s="89"/>
    </row>
    <row r="440" hidden="1">
      <c r="A440" s="85"/>
      <c r="B440" s="85"/>
      <c r="C440" s="86"/>
      <c r="D440" s="85"/>
      <c r="E440" s="87"/>
      <c r="F440" s="87"/>
      <c r="H440" s="85"/>
      <c r="I440" s="88"/>
      <c r="J440" s="88"/>
      <c r="K440" s="89"/>
    </row>
    <row r="441" hidden="1">
      <c r="A441" s="85"/>
      <c r="B441" s="85"/>
      <c r="C441" s="86"/>
      <c r="D441" s="85"/>
      <c r="E441" s="87"/>
      <c r="F441" s="87"/>
      <c r="H441" s="85"/>
      <c r="I441" s="88"/>
      <c r="J441" s="88"/>
      <c r="K441" s="89"/>
    </row>
    <row r="442" hidden="1">
      <c r="A442" s="85"/>
      <c r="B442" s="85"/>
      <c r="C442" s="86"/>
      <c r="D442" s="85"/>
      <c r="E442" s="87"/>
      <c r="F442" s="87"/>
      <c r="H442" s="85"/>
      <c r="I442" s="88"/>
      <c r="J442" s="88"/>
      <c r="K442" s="89"/>
    </row>
    <row r="443" hidden="1">
      <c r="A443" s="85"/>
      <c r="B443" s="85"/>
      <c r="C443" s="86"/>
      <c r="D443" s="85"/>
      <c r="E443" s="87"/>
      <c r="F443" s="87"/>
      <c r="H443" s="85"/>
      <c r="I443" s="88"/>
      <c r="J443" s="88"/>
      <c r="K443" s="89"/>
    </row>
    <row r="444" hidden="1">
      <c r="A444" s="85"/>
      <c r="B444" s="85"/>
      <c r="C444" s="86"/>
      <c r="D444" s="85"/>
      <c r="E444" s="87"/>
      <c r="F444" s="87"/>
      <c r="H444" s="85"/>
      <c r="I444" s="88"/>
      <c r="J444" s="88"/>
      <c r="K444" s="89"/>
    </row>
    <row r="445" hidden="1">
      <c r="A445" s="85"/>
      <c r="B445" s="85"/>
      <c r="C445" s="86"/>
      <c r="D445" s="85"/>
      <c r="E445" s="87"/>
      <c r="F445" s="87"/>
      <c r="H445" s="85"/>
      <c r="I445" s="88"/>
      <c r="J445" s="88"/>
      <c r="K445" s="89"/>
    </row>
    <row r="446" hidden="1">
      <c r="A446" s="85"/>
      <c r="B446" s="85"/>
      <c r="C446" s="86"/>
      <c r="D446" s="85"/>
      <c r="E446" s="87"/>
      <c r="F446" s="87"/>
      <c r="H446" s="85"/>
      <c r="I446" s="88"/>
      <c r="J446" s="88"/>
      <c r="K446" s="89"/>
    </row>
    <row r="447" hidden="1">
      <c r="A447" s="85"/>
      <c r="B447" s="85"/>
      <c r="C447" s="86"/>
      <c r="D447" s="85"/>
      <c r="E447" s="87"/>
      <c r="F447" s="87"/>
      <c r="H447" s="85"/>
      <c r="I447" s="88"/>
      <c r="J447" s="88"/>
      <c r="K447" s="89"/>
    </row>
    <row r="448" hidden="1">
      <c r="A448" s="85"/>
      <c r="B448" s="85"/>
      <c r="C448" s="86"/>
      <c r="D448" s="85"/>
      <c r="E448" s="87"/>
      <c r="F448" s="87"/>
      <c r="H448" s="85"/>
      <c r="I448" s="88"/>
      <c r="J448" s="88"/>
      <c r="K448" s="89"/>
    </row>
    <row r="449" hidden="1">
      <c r="A449" s="85"/>
      <c r="B449" s="85"/>
      <c r="C449" s="86"/>
      <c r="D449" s="85"/>
      <c r="E449" s="87"/>
      <c r="F449" s="87"/>
      <c r="H449" s="85"/>
      <c r="I449" s="88"/>
      <c r="J449" s="88"/>
      <c r="K449" s="89"/>
    </row>
    <row r="450" hidden="1">
      <c r="A450" s="85"/>
      <c r="B450" s="85"/>
      <c r="C450" s="86"/>
      <c r="D450" s="85"/>
      <c r="E450" s="87"/>
      <c r="F450" s="87"/>
      <c r="H450" s="85"/>
      <c r="I450" s="88"/>
      <c r="J450" s="88"/>
      <c r="K450" s="89"/>
    </row>
    <row r="451" hidden="1">
      <c r="A451" s="85"/>
      <c r="B451" s="85"/>
      <c r="C451" s="86"/>
      <c r="D451" s="85"/>
      <c r="E451" s="87"/>
      <c r="F451" s="87"/>
      <c r="H451" s="85"/>
      <c r="I451" s="88"/>
      <c r="J451" s="88"/>
      <c r="K451" s="89"/>
    </row>
    <row r="452" hidden="1">
      <c r="A452" s="85"/>
      <c r="B452" s="85"/>
      <c r="C452" s="86"/>
      <c r="D452" s="85"/>
      <c r="E452" s="87"/>
      <c r="F452" s="87"/>
      <c r="H452" s="85"/>
      <c r="I452" s="88"/>
      <c r="J452" s="88"/>
      <c r="K452" s="89"/>
    </row>
    <row r="453" hidden="1">
      <c r="A453" s="85"/>
      <c r="B453" s="85"/>
      <c r="C453" s="86"/>
      <c r="D453" s="85"/>
      <c r="E453" s="87"/>
      <c r="F453" s="87"/>
      <c r="H453" s="85"/>
      <c r="I453" s="88"/>
      <c r="J453" s="88"/>
      <c r="K453" s="89"/>
    </row>
    <row r="454" hidden="1">
      <c r="A454" s="85"/>
      <c r="B454" s="85"/>
      <c r="C454" s="86"/>
      <c r="D454" s="85"/>
      <c r="E454" s="87"/>
      <c r="F454" s="87"/>
      <c r="H454" s="85"/>
      <c r="I454" s="88"/>
      <c r="J454" s="88"/>
      <c r="K454" s="89"/>
    </row>
    <row r="455" hidden="1">
      <c r="A455" s="85"/>
      <c r="B455" s="85"/>
      <c r="C455" s="86"/>
      <c r="D455" s="85"/>
      <c r="E455" s="87"/>
      <c r="F455" s="87"/>
      <c r="H455" s="85"/>
      <c r="I455" s="88"/>
      <c r="J455" s="88"/>
      <c r="K455" s="89"/>
    </row>
    <row r="456" hidden="1">
      <c r="A456" s="85"/>
      <c r="B456" s="85"/>
      <c r="C456" s="86"/>
      <c r="D456" s="85"/>
      <c r="E456" s="87"/>
      <c r="F456" s="87"/>
      <c r="H456" s="85"/>
      <c r="I456" s="88"/>
      <c r="J456" s="88"/>
      <c r="K456" s="89"/>
    </row>
    <row r="457" hidden="1">
      <c r="A457" s="85"/>
      <c r="B457" s="85"/>
      <c r="C457" s="86"/>
      <c r="D457" s="85"/>
      <c r="E457" s="87"/>
      <c r="F457" s="87"/>
      <c r="H457" s="85"/>
      <c r="I457" s="88"/>
      <c r="J457" s="88"/>
      <c r="K457" s="89"/>
    </row>
    <row r="458" hidden="1">
      <c r="A458" s="85"/>
      <c r="B458" s="85"/>
      <c r="C458" s="86"/>
      <c r="D458" s="85"/>
      <c r="E458" s="87"/>
      <c r="F458" s="87"/>
      <c r="H458" s="85"/>
      <c r="I458" s="88"/>
      <c r="J458" s="88"/>
      <c r="K458" s="89"/>
    </row>
    <row r="459" hidden="1">
      <c r="A459" s="85"/>
      <c r="B459" s="85"/>
      <c r="C459" s="86"/>
      <c r="D459" s="85"/>
      <c r="E459" s="87"/>
      <c r="F459" s="87"/>
      <c r="H459" s="85"/>
      <c r="I459" s="88"/>
      <c r="J459" s="88"/>
      <c r="K459" s="89"/>
    </row>
    <row r="460" hidden="1">
      <c r="A460" s="85"/>
      <c r="B460" s="85"/>
      <c r="C460" s="86"/>
      <c r="D460" s="85"/>
      <c r="E460" s="87"/>
      <c r="F460" s="87"/>
      <c r="H460" s="85"/>
      <c r="I460" s="88"/>
      <c r="J460" s="88"/>
      <c r="K460" s="89"/>
    </row>
    <row r="461" hidden="1">
      <c r="A461" s="85"/>
      <c r="B461" s="85"/>
      <c r="C461" s="86"/>
      <c r="D461" s="85"/>
      <c r="E461" s="87"/>
      <c r="F461" s="87"/>
      <c r="H461" s="85"/>
      <c r="I461" s="88"/>
      <c r="J461" s="88"/>
      <c r="K461" s="89"/>
    </row>
    <row r="462" hidden="1">
      <c r="A462" s="85"/>
      <c r="B462" s="85"/>
      <c r="C462" s="86"/>
      <c r="D462" s="85"/>
      <c r="E462" s="87"/>
      <c r="F462" s="87"/>
      <c r="H462" s="85"/>
      <c r="I462" s="88"/>
      <c r="J462" s="88"/>
      <c r="K462" s="89"/>
    </row>
    <row r="463" hidden="1">
      <c r="A463" s="85"/>
      <c r="B463" s="85"/>
      <c r="C463" s="86"/>
      <c r="D463" s="85"/>
      <c r="E463" s="87"/>
      <c r="F463" s="87"/>
      <c r="H463" s="85"/>
      <c r="I463" s="88"/>
      <c r="J463" s="88"/>
      <c r="K463" s="89"/>
    </row>
    <row r="464" hidden="1">
      <c r="A464" s="85"/>
      <c r="B464" s="85"/>
      <c r="C464" s="86"/>
      <c r="D464" s="85"/>
      <c r="E464" s="87"/>
      <c r="F464" s="87"/>
      <c r="H464" s="85"/>
      <c r="I464" s="88"/>
      <c r="J464" s="88"/>
      <c r="K464" s="89"/>
    </row>
    <row r="465" hidden="1">
      <c r="A465" s="85"/>
      <c r="B465" s="85"/>
      <c r="C465" s="86"/>
      <c r="D465" s="85"/>
      <c r="E465" s="87"/>
      <c r="F465" s="87"/>
      <c r="H465" s="85"/>
      <c r="I465" s="88"/>
      <c r="J465" s="88"/>
      <c r="K465" s="89"/>
    </row>
    <row r="466" hidden="1">
      <c r="A466" s="85"/>
      <c r="B466" s="85"/>
      <c r="C466" s="86"/>
      <c r="D466" s="85"/>
      <c r="E466" s="87"/>
      <c r="F466" s="87"/>
      <c r="H466" s="85"/>
      <c r="I466" s="88"/>
      <c r="J466" s="88"/>
      <c r="K466" s="89"/>
    </row>
    <row r="467" hidden="1">
      <c r="A467" s="85"/>
      <c r="B467" s="85"/>
      <c r="C467" s="86"/>
      <c r="D467" s="85"/>
      <c r="E467" s="87"/>
      <c r="F467" s="87"/>
      <c r="H467" s="85"/>
      <c r="I467" s="88"/>
      <c r="J467" s="88"/>
      <c r="K467" s="89"/>
    </row>
    <row r="468" hidden="1">
      <c r="A468" s="85"/>
      <c r="B468" s="85"/>
      <c r="C468" s="86"/>
      <c r="D468" s="85"/>
      <c r="E468" s="87"/>
      <c r="F468" s="87"/>
      <c r="H468" s="85"/>
      <c r="I468" s="88"/>
      <c r="J468" s="88"/>
      <c r="K468" s="89"/>
    </row>
    <row r="469" hidden="1">
      <c r="A469" s="85"/>
      <c r="B469" s="85"/>
      <c r="C469" s="86"/>
      <c r="D469" s="85"/>
      <c r="E469" s="87"/>
      <c r="F469" s="87"/>
      <c r="H469" s="85"/>
      <c r="I469" s="88"/>
      <c r="J469" s="88"/>
      <c r="K469" s="89"/>
    </row>
    <row r="470" hidden="1">
      <c r="A470" s="85"/>
      <c r="B470" s="85"/>
      <c r="C470" s="86"/>
      <c r="D470" s="85"/>
      <c r="E470" s="87"/>
      <c r="F470" s="87"/>
      <c r="H470" s="85"/>
      <c r="I470" s="88"/>
      <c r="J470" s="88"/>
      <c r="K470" s="89"/>
    </row>
    <row r="471" hidden="1">
      <c r="A471" s="85"/>
      <c r="B471" s="85"/>
      <c r="C471" s="86"/>
      <c r="D471" s="85"/>
      <c r="E471" s="87"/>
      <c r="F471" s="87"/>
      <c r="H471" s="85"/>
      <c r="I471" s="88"/>
      <c r="J471" s="88"/>
      <c r="K471" s="89"/>
    </row>
    <row r="472" hidden="1">
      <c r="A472" s="85"/>
      <c r="B472" s="85"/>
      <c r="C472" s="86"/>
      <c r="D472" s="85"/>
      <c r="E472" s="87"/>
      <c r="F472" s="87"/>
      <c r="H472" s="85"/>
      <c r="I472" s="88"/>
      <c r="J472" s="88"/>
      <c r="K472" s="89"/>
    </row>
    <row r="473" hidden="1">
      <c r="A473" s="85"/>
      <c r="B473" s="85"/>
      <c r="C473" s="86"/>
      <c r="D473" s="85"/>
      <c r="E473" s="87"/>
      <c r="F473" s="87"/>
      <c r="H473" s="85"/>
      <c r="I473" s="88"/>
      <c r="J473" s="88"/>
      <c r="K473" s="89"/>
    </row>
    <row r="474" hidden="1">
      <c r="A474" s="85"/>
      <c r="B474" s="85"/>
      <c r="C474" s="86"/>
      <c r="D474" s="85"/>
      <c r="E474" s="87"/>
      <c r="F474" s="87"/>
      <c r="H474" s="85"/>
      <c r="I474" s="88"/>
      <c r="J474" s="88"/>
      <c r="K474" s="89"/>
    </row>
    <row r="475" hidden="1">
      <c r="A475" s="85"/>
      <c r="B475" s="85"/>
      <c r="C475" s="86"/>
      <c r="D475" s="85"/>
      <c r="E475" s="87"/>
      <c r="F475" s="87"/>
      <c r="H475" s="85"/>
      <c r="I475" s="88"/>
      <c r="J475" s="88"/>
      <c r="K475" s="89"/>
    </row>
    <row r="476" hidden="1">
      <c r="A476" s="85"/>
      <c r="B476" s="85"/>
      <c r="C476" s="86"/>
      <c r="D476" s="85"/>
      <c r="E476" s="87"/>
      <c r="F476" s="87"/>
      <c r="H476" s="85"/>
      <c r="I476" s="88"/>
      <c r="J476" s="88"/>
      <c r="K476" s="89"/>
    </row>
    <row r="477" hidden="1">
      <c r="A477" s="85"/>
      <c r="B477" s="85"/>
      <c r="C477" s="86"/>
      <c r="D477" s="85"/>
      <c r="E477" s="87"/>
      <c r="F477" s="87"/>
      <c r="H477" s="85"/>
      <c r="I477" s="88"/>
      <c r="J477" s="88"/>
      <c r="K477" s="89"/>
    </row>
    <row r="478" hidden="1">
      <c r="A478" s="85"/>
      <c r="B478" s="85"/>
      <c r="C478" s="86"/>
      <c r="D478" s="85"/>
      <c r="E478" s="87"/>
      <c r="F478" s="87"/>
      <c r="H478" s="85"/>
      <c r="I478" s="88"/>
      <c r="J478" s="88"/>
      <c r="K478" s="89"/>
    </row>
    <row r="479" hidden="1">
      <c r="A479" s="85"/>
      <c r="B479" s="85"/>
      <c r="C479" s="86"/>
      <c r="D479" s="85"/>
      <c r="E479" s="87"/>
      <c r="F479" s="87"/>
      <c r="H479" s="85"/>
      <c r="I479" s="88"/>
      <c r="J479" s="88"/>
      <c r="K479" s="89"/>
    </row>
    <row r="480" hidden="1">
      <c r="A480" s="85"/>
      <c r="B480" s="85"/>
      <c r="C480" s="86"/>
      <c r="D480" s="85"/>
      <c r="E480" s="87"/>
      <c r="F480" s="87"/>
      <c r="H480" s="85"/>
      <c r="I480" s="88"/>
      <c r="J480" s="88"/>
      <c r="K480" s="89"/>
    </row>
    <row r="481" hidden="1">
      <c r="A481" s="85"/>
      <c r="B481" s="85"/>
      <c r="C481" s="86"/>
      <c r="D481" s="85"/>
      <c r="E481" s="87"/>
      <c r="F481" s="87"/>
      <c r="H481" s="85"/>
      <c r="I481" s="88"/>
      <c r="J481" s="88"/>
      <c r="K481" s="89"/>
    </row>
    <row r="482" hidden="1">
      <c r="A482" s="85"/>
      <c r="B482" s="85"/>
      <c r="C482" s="86"/>
      <c r="D482" s="85"/>
      <c r="E482" s="87"/>
      <c r="F482" s="87"/>
      <c r="H482" s="85"/>
      <c r="I482" s="88"/>
      <c r="J482" s="88"/>
      <c r="K482" s="89"/>
    </row>
    <row r="483" hidden="1">
      <c r="A483" s="85"/>
      <c r="B483" s="85"/>
      <c r="C483" s="86"/>
      <c r="D483" s="85"/>
      <c r="E483" s="87"/>
      <c r="F483" s="87"/>
      <c r="H483" s="85"/>
      <c r="I483" s="88"/>
      <c r="J483" s="88"/>
      <c r="K483" s="89"/>
    </row>
    <row r="484" hidden="1">
      <c r="A484" s="85"/>
      <c r="B484" s="85"/>
      <c r="C484" s="86"/>
      <c r="D484" s="85"/>
      <c r="E484" s="87"/>
      <c r="F484" s="87"/>
      <c r="H484" s="85"/>
      <c r="I484" s="88"/>
      <c r="J484" s="88"/>
      <c r="K484" s="89"/>
    </row>
    <row r="485" hidden="1">
      <c r="A485" s="85"/>
      <c r="B485" s="85"/>
      <c r="C485" s="86"/>
      <c r="D485" s="85"/>
      <c r="E485" s="87"/>
      <c r="F485" s="87"/>
      <c r="H485" s="85"/>
      <c r="I485" s="88"/>
      <c r="J485" s="88"/>
      <c r="K485" s="89"/>
    </row>
    <row r="486" hidden="1">
      <c r="A486" s="85"/>
      <c r="B486" s="85"/>
      <c r="C486" s="86"/>
      <c r="D486" s="85"/>
      <c r="E486" s="87"/>
      <c r="F486" s="87"/>
      <c r="H486" s="85"/>
      <c r="I486" s="88"/>
      <c r="J486" s="88"/>
      <c r="K486" s="89"/>
    </row>
    <row r="487" hidden="1">
      <c r="A487" s="85"/>
      <c r="B487" s="85"/>
      <c r="C487" s="86"/>
      <c r="D487" s="85"/>
      <c r="E487" s="87"/>
      <c r="F487" s="87"/>
      <c r="H487" s="85"/>
      <c r="I487" s="88"/>
      <c r="J487" s="88"/>
      <c r="K487" s="89"/>
    </row>
    <row r="488" hidden="1">
      <c r="A488" s="85"/>
      <c r="B488" s="85"/>
      <c r="C488" s="86"/>
      <c r="D488" s="85"/>
      <c r="E488" s="87"/>
      <c r="F488" s="87"/>
      <c r="H488" s="85"/>
      <c r="I488" s="88"/>
      <c r="J488" s="88"/>
      <c r="K488" s="89"/>
    </row>
    <row r="489" hidden="1">
      <c r="A489" s="85"/>
      <c r="B489" s="85"/>
      <c r="C489" s="86"/>
      <c r="D489" s="85"/>
      <c r="E489" s="87"/>
      <c r="F489" s="87"/>
      <c r="H489" s="85"/>
      <c r="I489" s="88"/>
      <c r="J489" s="88"/>
      <c r="K489" s="89"/>
    </row>
    <row r="490" hidden="1">
      <c r="A490" s="85"/>
      <c r="B490" s="85"/>
      <c r="C490" s="86"/>
      <c r="D490" s="85"/>
      <c r="E490" s="87"/>
      <c r="F490" s="87"/>
      <c r="H490" s="85"/>
      <c r="I490" s="88"/>
      <c r="J490" s="88"/>
      <c r="K490" s="89"/>
    </row>
    <row r="491" hidden="1">
      <c r="A491" s="85"/>
      <c r="B491" s="85"/>
      <c r="C491" s="86"/>
      <c r="D491" s="85"/>
      <c r="E491" s="87"/>
      <c r="F491" s="87"/>
      <c r="H491" s="85"/>
      <c r="I491" s="88"/>
      <c r="J491" s="88"/>
      <c r="K491" s="89"/>
    </row>
    <row r="492" hidden="1">
      <c r="A492" s="85"/>
      <c r="B492" s="85"/>
      <c r="C492" s="86"/>
      <c r="D492" s="85"/>
      <c r="E492" s="87"/>
      <c r="F492" s="87"/>
      <c r="H492" s="85"/>
      <c r="I492" s="88"/>
      <c r="J492" s="88"/>
      <c r="K492" s="89"/>
    </row>
    <row r="493" hidden="1">
      <c r="A493" s="85"/>
      <c r="B493" s="85"/>
      <c r="C493" s="86"/>
      <c r="D493" s="85"/>
      <c r="E493" s="87"/>
      <c r="F493" s="87"/>
      <c r="H493" s="85"/>
      <c r="I493" s="88"/>
      <c r="J493" s="88"/>
      <c r="K493" s="89"/>
    </row>
    <row r="494" hidden="1">
      <c r="A494" s="85"/>
      <c r="B494" s="85"/>
      <c r="C494" s="86"/>
      <c r="D494" s="85"/>
      <c r="E494" s="87"/>
      <c r="F494" s="87"/>
      <c r="H494" s="85"/>
      <c r="I494" s="88"/>
      <c r="J494" s="88"/>
      <c r="K494" s="89"/>
    </row>
    <row r="495" hidden="1">
      <c r="A495" s="85"/>
      <c r="B495" s="85"/>
      <c r="C495" s="86"/>
      <c r="D495" s="85"/>
      <c r="E495" s="87"/>
      <c r="F495" s="87"/>
      <c r="H495" s="85"/>
      <c r="I495" s="88"/>
      <c r="J495" s="88"/>
      <c r="K495" s="89"/>
    </row>
    <row r="496" hidden="1">
      <c r="A496" s="85"/>
      <c r="B496" s="85"/>
      <c r="C496" s="86"/>
      <c r="D496" s="85"/>
      <c r="E496" s="87"/>
      <c r="F496" s="87"/>
      <c r="H496" s="85"/>
      <c r="I496" s="88"/>
      <c r="J496" s="88"/>
      <c r="K496" s="89"/>
    </row>
    <row r="497" hidden="1">
      <c r="A497" s="85"/>
      <c r="B497" s="85"/>
      <c r="C497" s="86"/>
      <c r="D497" s="85"/>
      <c r="E497" s="87"/>
      <c r="F497" s="87"/>
      <c r="H497" s="85"/>
      <c r="I497" s="88"/>
      <c r="J497" s="88"/>
      <c r="K497" s="89"/>
    </row>
    <row r="498" hidden="1">
      <c r="A498" s="85"/>
      <c r="B498" s="85"/>
      <c r="C498" s="86"/>
      <c r="D498" s="85"/>
      <c r="E498" s="87"/>
      <c r="F498" s="87"/>
      <c r="H498" s="85"/>
      <c r="I498" s="88"/>
      <c r="J498" s="88"/>
      <c r="K498" s="89"/>
    </row>
    <row r="499" hidden="1">
      <c r="A499" s="85"/>
      <c r="B499" s="85"/>
      <c r="C499" s="86"/>
      <c r="D499" s="85"/>
      <c r="E499" s="87"/>
      <c r="F499" s="87"/>
      <c r="H499" s="85"/>
      <c r="I499" s="88"/>
      <c r="J499" s="88"/>
      <c r="K499" s="89"/>
    </row>
    <row r="500" hidden="1">
      <c r="A500" s="85"/>
      <c r="B500" s="85"/>
      <c r="C500" s="86"/>
      <c r="D500" s="85"/>
      <c r="E500" s="87"/>
      <c r="F500" s="87"/>
      <c r="H500" s="85"/>
      <c r="I500" s="88"/>
      <c r="J500" s="88"/>
      <c r="K500" s="89"/>
    </row>
    <row r="501" hidden="1">
      <c r="A501" s="85"/>
      <c r="B501" s="85"/>
      <c r="C501" s="86"/>
      <c r="D501" s="85"/>
      <c r="E501" s="87"/>
      <c r="F501" s="87"/>
      <c r="H501" s="85"/>
      <c r="I501" s="88"/>
      <c r="J501" s="88"/>
      <c r="K501" s="89"/>
    </row>
    <row r="502" hidden="1">
      <c r="A502" s="85"/>
      <c r="B502" s="85"/>
      <c r="C502" s="86"/>
      <c r="D502" s="85"/>
      <c r="E502" s="87"/>
      <c r="F502" s="87"/>
      <c r="H502" s="85"/>
      <c r="I502" s="88"/>
      <c r="J502" s="88"/>
      <c r="K502" s="89"/>
    </row>
    <row r="503" hidden="1">
      <c r="A503" s="85"/>
      <c r="B503" s="85"/>
      <c r="C503" s="86"/>
      <c r="D503" s="85"/>
      <c r="E503" s="87"/>
      <c r="F503" s="87"/>
      <c r="H503" s="85"/>
      <c r="I503" s="88"/>
      <c r="J503" s="88"/>
      <c r="K503" s="89"/>
    </row>
    <row r="504" hidden="1">
      <c r="A504" s="85"/>
      <c r="B504" s="85"/>
      <c r="C504" s="86"/>
      <c r="D504" s="85"/>
      <c r="E504" s="87"/>
      <c r="F504" s="87"/>
      <c r="H504" s="85"/>
      <c r="I504" s="88"/>
      <c r="J504" s="88"/>
      <c r="K504" s="89"/>
    </row>
    <row r="505" hidden="1">
      <c r="A505" s="85"/>
      <c r="B505" s="85"/>
      <c r="C505" s="86"/>
      <c r="D505" s="85"/>
      <c r="E505" s="87"/>
      <c r="F505" s="87"/>
      <c r="H505" s="85"/>
      <c r="I505" s="88"/>
      <c r="J505" s="88"/>
      <c r="K505" s="89"/>
    </row>
    <row r="506" hidden="1">
      <c r="A506" s="85"/>
      <c r="B506" s="85"/>
      <c r="C506" s="86"/>
      <c r="D506" s="85"/>
      <c r="E506" s="87"/>
      <c r="F506" s="87"/>
      <c r="H506" s="85"/>
      <c r="I506" s="88"/>
      <c r="J506" s="88"/>
      <c r="K506" s="89"/>
    </row>
    <row r="507" hidden="1">
      <c r="A507" s="85"/>
      <c r="B507" s="85"/>
      <c r="C507" s="86"/>
      <c r="D507" s="85"/>
      <c r="E507" s="87"/>
      <c r="F507" s="87"/>
      <c r="H507" s="85"/>
      <c r="I507" s="88"/>
      <c r="J507" s="88"/>
      <c r="K507" s="89"/>
    </row>
    <row r="508" hidden="1">
      <c r="A508" s="85"/>
      <c r="B508" s="85"/>
      <c r="C508" s="86"/>
      <c r="D508" s="85"/>
      <c r="E508" s="87"/>
      <c r="F508" s="87"/>
      <c r="H508" s="85"/>
      <c r="I508" s="88"/>
      <c r="J508" s="88"/>
      <c r="K508" s="89"/>
    </row>
    <row r="509" hidden="1">
      <c r="A509" s="85"/>
      <c r="B509" s="85"/>
      <c r="C509" s="86"/>
      <c r="D509" s="85"/>
      <c r="E509" s="87"/>
      <c r="F509" s="87"/>
      <c r="H509" s="85"/>
      <c r="I509" s="88"/>
      <c r="J509" s="88"/>
      <c r="K509" s="89"/>
    </row>
    <row r="510" hidden="1">
      <c r="A510" s="85"/>
      <c r="B510" s="85"/>
      <c r="C510" s="86"/>
      <c r="D510" s="85"/>
      <c r="E510" s="87"/>
      <c r="F510" s="87"/>
      <c r="H510" s="85"/>
      <c r="I510" s="88"/>
      <c r="J510" s="88"/>
      <c r="K510" s="89"/>
    </row>
    <row r="511" hidden="1">
      <c r="A511" s="85"/>
      <c r="B511" s="85"/>
      <c r="C511" s="86"/>
      <c r="D511" s="85"/>
      <c r="E511" s="87"/>
      <c r="F511" s="87"/>
      <c r="H511" s="85"/>
      <c r="I511" s="88"/>
      <c r="J511" s="88"/>
      <c r="K511" s="89"/>
    </row>
    <row r="512" hidden="1">
      <c r="A512" s="85"/>
      <c r="B512" s="85"/>
      <c r="C512" s="86"/>
      <c r="D512" s="85"/>
      <c r="E512" s="87"/>
      <c r="F512" s="87"/>
      <c r="H512" s="85"/>
      <c r="I512" s="88"/>
      <c r="J512" s="88"/>
      <c r="K512" s="89"/>
    </row>
    <row r="513" hidden="1">
      <c r="A513" s="85"/>
      <c r="B513" s="85"/>
      <c r="C513" s="86"/>
      <c r="D513" s="85"/>
      <c r="E513" s="87"/>
      <c r="F513" s="87"/>
      <c r="H513" s="85"/>
      <c r="I513" s="88"/>
      <c r="J513" s="88"/>
      <c r="K513" s="89"/>
    </row>
    <row r="514" hidden="1">
      <c r="A514" s="85"/>
      <c r="B514" s="85"/>
      <c r="C514" s="86"/>
      <c r="D514" s="85"/>
      <c r="E514" s="87"/>
      <c r="F514" s="87"/>
      <c r="H514" s="85"/>
      <c r="I514" s="88"/>
      <c r="J514" s="88"/>
      <c r="K514" s="89"/>
    </row>
    <row r="515" hidden="1">
      <c r="A515" s="85"/>
      <c r="B515" s="85"/>
      <c r="C515" s="86"/>
      <c r="D515" s="85"/>
      <c r="E515" s="87"/>
      <c r="F515" s="87"/>
      <c r="H515" s="85"/>
      <c r="I515" s="88"/>
      <c r="J515" s="88"/>
      <c r="K515" s="89"/>
    </row>
    <row r="516" hidden="1">
      <c r="A516" s="85"/>
      <c r="B516" s="85"/>
      <c r="C516" s="86"/>
      <c r="D516" s="85"/>
      <c r="E516" s="87"/>
      <c r="F516" s="87"/>
      <c r="H516" s="85"/>
      <c r="I516" s="88"/>
      <c r="J516" s="88"/>
      <c r="K516" s="89"/>
    </row>
    <row r="517" hidden="1">
      <c r="A517" s="85"/>
      <c r="B517" s="85"/>
      <c r="C517" s="86"/>
      <c r="D517" s="85"/>
      <c r="E517" s="87"/>
      <c r="F517" s="87"/>
      <c r="H517" s="85"/>
      <c r="I517" s="88"/>
      <c r="J517" s="88"/>
      <c r="K517" s="89"/>
    </row>
    <row r="518" hidden="1">
      <c r="A518" s="85"/>
      <c r="B518" s="85"/>
      <c r="C518" s="86"/>
      <c r="D518" s="85"/>
      <c r="E518" s="87"/>
      <c r="F518" s="87"/>
      <c r="H518" s="85"/>
      <c r="I518" s="88"/>
      <c r="J518" s="88"/>
      <c r="K518" s="89"/>
    </row>
    <row r="519" hidden="1">
      <c r="A519" s="85"/>
      <c r="B519" s="85"/>
      <c r="C519" s="86"/>
      <c r="D519" s="85"/>
      <c r="E519" s="87"/>
      <c r="F519" s="87"/>
      <c r="H519" s="85"/>
      <c r="I519" s="88"/>
      <c r="J519" s="88"/>
      <c r="K519" s="89"/>
    </row>
    <row r="520" hidden="1">
      <c r="A520" s="85"/>
      <c r="B520" s="85"/>
      <c r="C520" s="86"/>
      <c r="D520" s="85"/>
      <c r="E520" s="87"/>
      <c r="F520" s="87"/>
      <c r="H520" s="85"/>
      <c r="I520" s="88"/>
      <c r="J520" s="88"/>
      <c r="K520" s="89"/>
    </row>
    <row r="521" hidden="1">
      <c r="A521" s="85"/>
      <c r="B521" s="85"/>
      <c r="C521" s="86"/>
      <c r="D521" s="85"/>
      <c r="E521" s="87"/>
      <c r="F521" s="87"/>
      <c r="H521" s="85"/>
      <c r="I521" s="88"/>
      <c r="J521" s="88"/>
      <c r="K521" s="89"/>
    </row>
    <row r="522" hidden="1">
      <c r="A522" s="85"/>
      <c r="B522" s="85"/>
      <c r="C522" s="86"/>
      <c r="D522" s="85"/>
      <c r="E522" s="87"/>
      <c r="F522" s="87"/>
      <c r="H522" s="85"/>
      <c r="I522" s="88"/>
      <c r="J522" s="88"/>
      <c r="K522" s="89"/>
    </row>
    <row r="523" hidden="1">
      <c r="A523" s="85"/>
      <c r="B523" s="85"/>
      <c r="C523" s="86"/>
      <c r="D523" s="85"/>
      <c r="E523" s="87"/>
      <c r="F523" s="87"/>
      <c r="H523" s="85"/>
      <c r="I523" s="88"/>
      <c r="J523" s="88"/>
      <c r="K523" s="89"/>
    </row>
    <row r="524" hidden="1">
      <c r="A524" s="85"/>
      <c r="B524" s="85"/>
      <c r="C524" s="86"/>
      <c r="D524" s="85"/>
      <c r="E524" s="87"/>
      <c r="F524" s="87"/>
      <c r="H524" s="85"/>
      <c r="I524" s="88"/>
      <c r="J524" s="88"/>
      <c r="K524" s="89"/>
    </row>
    <row r="525" hidden="1">
      <c r="A525" s="85"/>
      <c r="B525" s="85"/>
      <c r="C525" s="86"/>
      <c r="D525" s="85"/>
      <c r="E525" s="87"/>
      <c r="F525" s="87"/>
      <c r="H525" s="85"/>
      <c r="I525" s="88"/>
      <c r="J525" s="88"/>
      <c r="K525" s="89"/>
    </row>
    <row r="526" hidden="1">
      <c r="A526" s="85"/>
      <c r="B526" s="85"/>
      <c r="C526" s="86"/>
      <c r="D526" s="85"/>
      <c r="E526" s="87"/>
      <c r="F526" s="87"/>
      <c r="H526" s="85"/>
      <c r="I526" s="88"/>
      <c r="J526" s="88"/>
      <c r="K526" s="89"/>
    </row>
    <row r="527" hidden="1">
      <c r="A527" s="85"/>
      <c r="B527" s="85"/>
      <c r="C527" s="86"/>
      <c r="D527" s="85"/>
      <c r="E527" s="87"/>
      <c r="F527" s="87"/>
      <c r="H527" s="85"/>
      <c r="I527" s="88"/>
      <c r="J527" s="88"/>
      <c r="K527" s="89"/>
    </row>
    <row r="528" hidden="1">
      <c r="A528" s="85"/>
      <c r="B528" s="85"/>
      <c r="C528" s="86"/>
      <c r="D528" s="85"/>
      <c r="E528" s="87"/>
      <c r="F528" s="87"/>
      <c r="H528" s="85"/>
      <c r="I528" s="88"/>
      <c r="J528" s="88"/>
      <c r="K528" s="89"/>
    </row>
    <row r="529" hidden="1">
      <c r="A529" s="85"/>
      <c r="B529" s="85"/>
      <c r="C529" s="86"/>
      <c r="D529" s="85"/>
      <c r="E529" s="87"/>
      <c r="F529" s="87"/>
      <c r="H529" s="85"/>
      <c r="I529" s="88"/>
      <c r="J529" s="88"/>
      <c r="K529" s="89"/>
    </row>
    <row r="530" hidden="1">
      <c r="A530" s="85"/>
      <c r="B530" s="85"/>
      <c r="C530" s="86"/>
      <c r="D530" s="85"/>
      <c r="E530" s="87"/>
      <c r="F530" s="87"/>
      <c r="H530" s="85"/>
      <c r="I530" s="88"/>
      <c r="J530" s="88"/>
      <c r="K530" s="89"/>
    </row>
    <row r="531" hidden="1">
      <c r="A531" s="85"/>
      <c r="B531" s="85"/>
      <c r="C531" s="86"/>
      <c r="D531" s="85"/>
      <c r="E531" s="87"/>
      <c r="F531" s="87"/>
      <c r="H531" s="85"/>
      <c r="I531" s="88"/>
      <c r="J531" s="88"/>
      <c r="K531" s="89"/>
    </row>
    <row r="532" hidden="1">
      <c r="A532" s="85"/>
      <c r="B532" s="85"/>
      <c r="C532" s="86"/>
      <c r="D532" s="85"/>
      <c r="E532" s="87"/>
      <c r="F532" s="87"/>
      <c r="H532" s="85"/>
      <c r="I532" s="88"/>
      <c r="J532" s="88"/>
      <c r="K532" s="89"/>
    </row>
    <row r="533" hidden="1">
      <c r="A533" s="85"/>
      <c r="B533" s="85"/>
      <c r="C533" s="86"/>
      <c r="D533" s="85"/>
      <c r="E533" s="87"/>
      <c r="F533" s="87"/>
      <c r="H533" s="85"/>
      <c r="I533" s="88"/>
      <c r="J533" s="88"/>
      <c r="K533" s="89"/>
    </row>
    <row r="534" hidden="1">
      <c r="A534" s="85"/>
      <c r="B534" s="85"/>
      <c r="C534" s="86"/>
      <c r="D534" s="85"/>
      <c r="E534" s="87"/>
      <c r="F534" s="87"/>
      <c r="H534" s="85"/>
      <c r="I534" s="88"/>
      <c r="J534" s="88"/>
      <c r="K534" s="89"/>
    </row>
    <row r="535" hidden="1">
      <c r="A535" s="85"/>
      <c r="B535" s="85"/>
      <c r="C535" s="86"/>
      <c r="D535" s="85"/>
      <c r="E535" s="87"/>
      <c r="F535" s="87"/>
      <c r="H535" s="85"/>
      <c r="I535" s="88"/>
      <c r="J535" s="88"/>
      <c r="K535" s="89"/>
    </row>
    <row r="536" hidden="1">
      <c r="A536" s="85"/>
      <c r="B536" s="85"/>
      <c r="C536" s="86"/>
      <c r="D536" s="85"/>
      <c r="E536" s="87"/>
      <c r="F536" s="87"/>
      <c r="H536" s="85"/>
      <c r="I536" s="88"/>
      <c r="J536" s="88"/>
      <c r="K536" s="89"/>
    </row>
    <row r="537" hidden="1">
      <c r="A537" s="85"/>
      <c r="B537" s="85"/>
      <c r="C537" s="86"/>
      <c r="D537" s="85"/>
      <c r="E537" s="87"/>
      <c r="F537" s="87"/>
      <c r="H537" s="85"/>
      <c r="I537" s="88"/>
      <c r="J537" s="88"/>
      <c r="K537" s="89"/>
    </row>
    <row r="538" hidden="1">
      <c r="A538" s="85"/>
      <c r="B538" s="85"/>
      <c r="C538" s="86"/>
      <c r="D538" s="85"/>
      <c r="E538" s="87"/>
      <c r="F538" s="87"/>
      <c r="H538" s="85"/>
      <c r="I538" s="88"/>
      <c r="J538" s="88"/>
      <c r="K538" s="89"/>
    </row>
    <row r="539" hidden="1">
      <c r="A539" s="85"/>
      <c r="B539" s="85"/>
      <c r="C539" s="86"/>
      <c r="D539" s="85"/>
      <c r="E539" s="87"/>
      <c r="F539" s="87"/>
      <c r="H539" s="85"/>
      <c r="I539" s="88"/>
      <c r="J539" s="88"/>
      <c r="K539" s="89"/>
    </row>
    <row r="540" hidden="1">
      <c r="A540" s="85"/>
      <c r="B540" s="85"/>
      <c r="C540" s="86"/>
      <c r="D540" s="85"/>
      <c r="E540" s="87"/>
      <c r="F540" s="87"/>
      <c r="H540" s="85"/>
      <c r="I540" s="88"/>
      <c r="J540" s="88"/>
      <c r="K540" s="89"/>
    </row>
    <row r="541" hidden="1">
      <c r="A541" s="85"/>
      <c r="B541" s="85"/>
      <c r="C541" s="86"/>
      <c r="D541" s="85"/>
      <c r="E541" s="87"/>
      <c r="F541" s="87"/>
      <c r="H541" s="85"/>
      <c r="I541" s="88"/>
      <c r="J541" s="88"/>
      <c r="K541" s="89"/>
    </row>
    <row r="542" hidden="1">
      <c r="A542" s="85"/>
      <c r="B542" s="85"/>
      <c r="C542" s="86"/>
      <c r="D542" s="85"/>
      <c r="E542" s="87"/>
      <c r="F542" s="87"/>
      <c r="H542" s="85"/>
      <c r="I542" s="88"/>
      <c r="J542" s="88"/>
      <c r="K542" s="89"/>
    </row>
    <row r="543" hidden="1">
      <c r="A543" s="85"/>
      <c r="B543" s="85"/>
      <c r="C543" s="86"/>
      <c r="D543" s="85"/>
      <c r="E543" s="87"/>
      <c r="F543" s="87"/>
      <c r="H543" s="85"/>
      <c r="I543" s="88"/>
      <c r="J543" s="88"/>
      <c r="K543" s="89"/>
    </row>
    <row r="544" hidden="1">
      <c r="A544" s="85"/>
      <c r="B544" s="85"/>
      <c r="C544" s="86"/>
      <c r="D544" s="85"/>
      <c r="E544" s="87"/>
      <c r="F544" s="87"/>
      <c r="H544" s="85"/>
      <c r="I544" s="88"/>
      <c r="J544" s="88"/>
      <c r="K544" s="89"/>
    </row>
    <row r="545" hidden="1">
      <c r="A545" s="85"/>
      <c r="B545" s="85"/>
      <c r="C545" s="86"/>
      <c r="D545" s="85"/>
      <c r="E545" s="87"/>
      <c r="F545" s="87"/>
      <c r="H545" s="85"/>
      <c r="I545" s="88"/>
      <c r="J545" s="88"/>
      <c r="K545" s="89"/>
    </row>
    <row r="546" hidden="1">
      <c r="A546" s="85"/>
      <c r="B546" s="85"/>
      <c r="C546" s="86"/>
      <c r="D546" s="85"/>
      <c r="E546" s="87"/>
      <c r="F546" s="87"/>
      <c r="H546" s="85"/>
      <c r="I546" s="88"/>
      <c r="J546" s="88"/>
      <c r="K546" s="89"/>
    </row>
    <row r="547" hidden="1">
      <c r="A547" s="85"/>
      <c r="B547" s="85"/>
      <c r="C547" s="86"/>
      <c r="D547" s="85"/>
      <c r="E547" s="87"/>
      <c r="F547" s="87"/>
      <c r="H547" s="85"/>
      <c r="I547" s="88"/>
      <c r="J547" s="88"/>
      <c r="K547" s="89"/>
    </row>
    <row r="548" hidden="1">
      <c r="A548" s="85"/>
      <c r="B548" s="85"/>
      <c r="C548" s="86"/>
      <c r="D548" s="85"/>
      <c r="E548" s="87"/>
      <c r="F548" s="87"/>
      <c r="H548" s="85"/>
      <c r="I548" s="88"/>
      <c r="J548" s="88"/>
      <c r="K548" s="89"/>
    </row>
    <row r="549" hidden="1">
      <c r="A549" s="85"/>
      <c r="B549" s="85"/>
      <c r="C549" s="86"/>
      <c r="D549" s="85"/>
      <c r="E549" s="87"/>
      <c r="F549" s="87"/>
      <c r="H549" s="85"/>
      <c r="I549" s="88"/>
      <c r="J549" s="88"/>
      <c r="K549" s="89"/>
    </row>
    <row r="550" hidden="1">
      <c r="A550" s="85"/>
      <c r="B550" s="85"/>
      <c r="C550" s="86"/>
      <c r="D550" s="85"/>
      <c r="E550" s="87"/>
      <c r="F550" s="87"/>
      <c r="H550" s="85"/>
      <c r="I550" s="88"/>
      <c r="J550" s="88"/>
      <c r="K550" s="89"/>
    </row>
    <row r="551" hidden="1">
      <c r="A551" s="85"/>
      <c r="B551" s="85"/>
      <c r="C551" s="86"/>
      <c r="D551" s="85"/>
      <c r="E551" s="87"/>
      <c r="F551" s="87"/>
      <c r="H551" s="85"/>
      <c r="I551" s="88"/>
      <c r="J551" s="88"/>
      <c r="K551" s="89"/>
    </row>
    <row r="552" hidden="1">
      <c r="A552" s="85"/>
      <c r="B552" s="85"/>
      <c r="C552" s="86"/>
      <c r="D552" s="85"/>
      <c r="E552" s="87"/>
      <c r="F552" s="87"/>
      <c r="H552" s="85"/>
      <c r="I552" s="88"/>
      <c r="J552" s="88"/>
      <c r="K552" s="89"/>
    </row>
    <row r="553" hidden="1">
      <c r="A553" s="85"/>
      <c r="B553" s="85"/>
      <c r="C553" s="86"/>
      <c r="D553" s="85"/>
      <c r="E553" s="87"/>
      <c r="F553" s="87"/>
      <c r="H553" s="85"/>
      <c r="I553" s="88"/>
      <c r="J553" s="88"/>
      <c r="K553" s="89"/>
    </row>
    <row r="554" hidden="1">
      <c r="A554" s="85"/>
      <c r="B554" s="85"/>
      <c r="C554" s="86"/>
      <c r="D554" s="85"/>
      <c r="E554" s="87"/>
      <c r="F554" s="87"/>
      <c r="H554" s="85"/>
      <c r="I554" s="88"/>
      <c r="J554" s="88"/>
      <c r="K554" s="89"/>
    </row>
    <row r="555" hidden="1">
      <c r="A555" s="85"/>
      <c r="B555" s="85"/>
      <c r="C555" s="86"/>
      <c r="D555" s="85"/>
      <c r="E555" s="87"/>
      <c r="F555" s="87"/>
      <c r="H555" s="85"/>
      <c r="I555" s="88"/>
      <c r="J555" s="88"/>
      <c r="K555" s="89"/>
    </row>
    <row r="556" hidden="1">
      <c r="A556" s="85"/>
      <c r="B556" s="85"/>
      <c r="C556" s="86"/>
      <c r="D556" s="85"/>
      <c r="E556" s="87"/>
      <c r="F556" s="87"/>
      <c r="H556" s="85"/>
      <c r="I556" s="88"/>
      <c r="J556" s="88"/>
      <c r="K556" s="89"/>
    </row>
    <row r="557" hidden="1">
      <c r="A557" s="85"/>
      <c r="B557" s="85"/>
      <c r="C557" s="86"/>
      <c r="D557" s="85"/>
      <c r="E557" s="87"/>
      <c r="F557" s="87"/>
      <c r="H557" s="85"/>
      <c r="I557" s="88"/>
      <c r="J557" s="88"/>
      <c r="K557" s="89"/>
    </row>
    <row r="558" hidden="1">
      <c r="A558" s="85"/>
      <c r="B558" s="85"/>
      <c r="C558" s="86"/>
      <c r="D558" s="85"/>
      <c r="E558" s="87"/>
      <c r="F558" s="87"/>
      <c r="H558" s="85"/>
      <c r="I558" s="88"/>
      <c r="J558" s="88"/>
      <c r="K558" s="89"/>
    </row>
    <row r="559" hidden="1">
      <c r="A559" s="85"/>
      <c r="B559" s="85"/>
      <c r="C559" s="86"/>
      <c r="D559" s="85"/>
      <c r="E559" s="87"/>
      <c r="F559" s="87"/>
      <c r="H559" s="85"/>
      <c r="I559" s="88"/>
      <c r="J559" s="88"/>
      <c r="K559" s="89"/>
    </row>
    <row r="560" hidden="1">
      <c r="A560" s="85"/>
      <c r="B560" s="85"/>
      <c r="C560" s="86"/>
      <c r="D560" s="85"/>
      <c r="E560" s="87"/>
      <c r="F560" s="87"/>
      <c r="H560" s="85"/>
      <c r="I560" s="88"/>
      <c r="J560" s="88"/>
      <c r="K560" s="89"/>
    </row>
    <row r="561" hidden="1">
      <c r="A561" s="85"/>
      <c r="B561" s="85"/>
      <c r="C561" s="86"/>
      <c r="D561" s="85"/>
      <c r="E561" s="87"/>
      <c r="F561" s="87"/>
      <c r="H561" s="85"/>
      <c r="I561" s="88"/>
      <c r="J561" s="88"/>
      <c r="K561" s="89"/>
    </row>
    <row r="562" hidden="1">
      <c r="A562" s="85"/>
      <c r="B562" s="85"/>
      <c r="C562" s="86"/>
      <c r="D562" s="85"/>
      <c r="E562" s="87"/>
      <c r="F562" s="87"/>
      <c r="H562" s="85"/>
      <c r="I562" s="88"/>
      <c r="J562" s="88"/>
      <c r="K562" s="89"/>
    </row>
    <row r="563" hidden="1">
      <c r="A563" s="85"/>
      <c r="B563" s="85"/>
      <c r="C563" s="86"/>
      <c r="D563" s="85"/>
      <c r="E563" s="87"/>
      <c r="F563" s="87"/>
      <c r="H563" s="85"/>
      <c r="I563" s="88"/>
      <c r="J563" s="88"/>
      <c r="K563" s="89"/>
    </row>
    <row r="564" hidden="1">
      <c r="A564" s="85"/>
      <c r="B564" s="85"/>
      <c r="C564" s="86"/>
      <c r="D564" s="85"/>
      <c r="E564" s="87"/>
      <c r="F564" s="87"/>
      <c r="H564" s="85"/>
      <c r="I564" s="88"/>
      <c r="J564" s="88"/>
      <c r="K564" s="89"/>
    </row>
    <row r="565" hidden="1">
      <c r="A565" s="85"/>
      <c r="B565" s="85"/>
      <c r="C565" s="86"/>
      <c r="D565" s="85"/>
      <c r="E565" s="87"/>
      <c r="F565" s="87"/>
      <c r="H565" s="85"/>
      <c r="I565" s="88"/>
      <c r="J565" s="88"/>
      <c r="K565" s="89"/>
    </row>
    <row r="566" hidden="1">
      <c r="A566" s="85"/>
      <c r="B566" s="85"/>
      <c r="C566" s="86"/>
      <c r="D566" s="85"/>
      <c r="E566" s="87"/>
      <c r="F566" s="87"/>
      <c r="H566" s="85"/>
      <c r="I566" s="88"/>
      <c r="J566" s="88"/>
      <c r="K566" s="89"/>
    </row>
    <row r="567" hidden="1">
      <c r="A567" s="85"/>
      <c r="B567" s="85"/>
      <c r="C567" s="86"/>
      <c r="D567" s="85"/>
      <c r="E567" s="87"/>
      <c r="F567" s="87"/>
      <c r="H567" s="85"/>
      <c r="I567" s="88"/>
      <c r="J567" s="88"/>
      <c r="K567" s="89"/>
    </row>
    <row r="568" hidden="1">
      <c r="A568" s="85"/>
      <c r="B568" s="85"/>
      <c r="C568" s="86"/>
      <c r="D568" s="85"/>
      <c r="E568" s="87"/>
      <c r="F568" s="87"/>
      <c r="H568" s="85"/>
      <c r="I568" s="88"/>
      <c r="J568" s="88"/>
      <c r="K568" s="89"/>
    </row>
    <row r="569" hidden="1">
      <c r="A569" s="85"/>
      <c r="B569" s="85"/>
      <c r="C569" s="86"/>
      <c r="D569" s="85"/>
      <c r="E569" s="87"/>
      <c r="F569" s="87"/>
      <c r="H569" s="85"/>
      <c r="I569" s="88"/>
      <c r="J569" s="88"/>
      <c r="K569" s="89"/>
    </row>
    <row r="570" hidden="1">
      <c r="A570" s="85"/>
      <c r="B570" s="85"/>
      <c r="C570" s="86"/>
      <c r="D570" s="85"/>
      <c r="E570" s="87"/>
      <c r="F570" s="87"/>
      <c r="H570" s="85"/>
      <c r="I570" s="88"/>
      <c r="J570" s="88"/>
      <c r="K570" s="89"/>
    </row>
    <row r="571" hidden="1">
      <c r="A571" s="85"/>
      <c r="B571" s="85"/>
      <c r="C571" s="86"/>
      <c r="D571" s="85"/>
      <c r="E571" s="87"/>
      <c r="F571" s="87"/>
      <c r="H571" s="85"/>
      <c r="I571" s="88"/>
      <c r="J571" s="88"/>
      <c r="K571" s="89"/>
    </row>
    <row r="572" hidden="1">
      <c r="A572" s="85"/>
      <c r="B572" s="85"/>
      <c r="C572" s="86"/>
      <c r="D572" s="85"/>
      <c r="E572" s="87"/>
      <c r="F572" s="87"/>
      <c r="H572" s="85"/>
      <c r="I572" s="88"/>
      <c r="J572" s="88"/>
      <c r="K572" s="89"/>
    </row>
    <row r="573" hidden="1">
      <c r="A573" s="85"/>
      <c r="B573" s="85"/>
      <c r="C573" s="86"/>
      <c r="D573" s="85"/>
      <c r="E573" s="87"/>
      <c r="F573" s="87"/>
      <c r="H573" s="85"/>
      <c r="I573" s="88"/>
      <c r="J573" s="88"/>
      <c r="K573" s="89"/>
    </row>
    <row r="574" hidden="1">
      <c r="A574" s="85"/>
      <c r="B574" s="85"/>
      <c r="C574" s="86"/>
      <c r="D574" s="85"/>
      <c r="E574" s="87"/>
      <c r="F574" s="87"/>
      <c r="H574" s="85"/>
      <c r="I574" s="88"/>
      <c r="J574" s="88"/>
      <c r="K574" s="89"/>
    </row>
    <row r="575" hidden="1">
      <c r="A575" s="85"/>
      <c r="B575" s="85"/>
      <c r="C575" s="86"/>
      <c r="D575" s="85"/>
      <c r="E575" s="87"/>
      <c r="F575" s="87"/>
      <c r="H575" s="85"/>
      <c r="I575" s="88"/>
      <c r="J575" s="88"/>
      <c r="K575" s="89"/>
    </row>
    <row r="576" hidden="1">
      <c r="A576" s="85"/>
      <c r="B576" s="85"/>
      <c r="C576" s="86"/>
      <c r="D576" s="85"/>
      <c r="E576" s="87"/>
      <c r="F576" s="87"/>
      <c r="H576" s="85"/>
      <c r="I576" s="88"/>
      <c r="J576" s="88"/>
      <c r="K576" s="89"/>
    </row>
    <row r="577" hidden="1">
      <c r="A577" s="85"/>
      <c r="B577" s="85"/>
      <c r="C577" s="86"/>
      <c r="D577" s="85"/>
      <c r="E577" s="87"/>
      <c r="F577" s="87"/>
      <c r="H577" s="85"/>
      <c r="I577" s="88"/>
      <c r="J577" s="88"/>
      <c r="K577" s="89"/>
    </row>
    <row r="578" hidden="1">
      <c r="A578" s="85"/>
      <c r="B578" s="85"/>
      <c r="C578" s="86"/>
      <c r="D578" s="85"/>
      <c r="E578" s="87"/>
      <c r="F578" s="87"/>
      <c r="H578" s="85"/>
      <c r="I578" s="88"/>
      <c r="J578" s="88"/>
      <c r="K578" s="89"/>
    </row>
    <row r="579" hidden="1">
      <c r="A579" s="85"/>
      <c r="B579" s="85"/>
      <c r="C579" s="86"/>
      <c r="D579" s="85"/>
      <c r="E579" s="87"/>
      <c r="F579" s="87"/>
      <c r="H579" s="85"/>
      <c r="I579" s="88"/>
      <c r="J579" s="88"/>
      <c r="K579" s="89"/>
    </row>
    <row r="580" hidden="1">
      <c r="A580" s="85"/>
      <c r="B580" s="85"/>
      <c r="C580" s="86"/>
      <c r="D580" s="85"/>
      <c r="E580" s="87"/>
      <c r="F580" s="87"/>
      <c r="H580" s="85"/>
      <c r="I580" s="88"/>
      <c r="J580" s="88"/>
      <c r="K580" s="89"/>
    </row>
    <row r="581" hidden="1">
      <c r="A581" s="85"/>
      <c r="B581" s="85"/>
      <c r="C581" s="86"/>
      <c r="D581" s="85"/>
      <c r="E581" s="87"/>
      <c r="F581" s="87"/>
      <c r="H581" s="85"/>
      <c r="I581" s="88"/>
      <c r="J581" s="88"/>
      <c r="K581" s="89"/>
    </row>
    <row r="582" hidden="1">
      <c r="A582" s="85"/>
      <c r="B582" s="85"/>
      <c r="C582" s="86"/>
      <c r="D582" s="85"/>
      <c r="E582" s="87"/>
      <c r="F582" s="87"/>
      <c r="H582" s="85"/>
      <c r="I582" s="88"/>
      <c r="J582" s="88"/>
      <c r="K582" s="89"/>
    </row>
    <row r="583" hidden="1">
      <c r="A583" s="85"/>
      <c r="B583" s="85"/>
      <c r="C583" s="86"/>
      <c r="D583" s="85"/>
      <c r="E583" s="87"/>
      <c r="F583" s="87"/>
      <c r="H583" s="85"/>
      <c r="I583" s="88"/>
      <c r="J583" s="88"/>
      <c r="K583" s="89"/>
    </row>
    <row r="584" hidden="1">
      <c r="A584" s="85"/>
      <c r="B584" s="85"/>
      <c r="C584" s="86"/>
      <c r="D584" s="85"/>
      <c r="E584" s="87"/>
      <c r="F584" s="87"/>
      <c r="H584" s="85"/>
      <c r="I584" s="88"/>
      <c r="J584" s="88"/>
      <c r="K584" s="89"/>
    </row>
    <row r="585" hidden="1">
      <c r="A585" s="85"/>
      <c r="B585" s="85"/>
      <c r="C585" s="86"/>
      <c r="D585" s="85"/>
      <c r="E585" s="87"/>
      <c r="F585" s="87"/>
      <c r="H585" s="85"/>
      <c r="I585" s="88"/>
      <c r="J585" s="88"/>
      <c r="K585" s="89"/>
    </row>
    <row r="586" hidden="1">
      <c r="A586" s="85"/>
      <c r="B586" s="85"/>
      <c r="C586" s="86"/>
      <c r="D586" s="85"/>
      <c r="E586" s="87"/>
      <c r="F586" s="87"/>
      <c r="H586" s="85"/>
      <c r="I586" s="88"/>
      <c r="J586" s="88"/>
      <c r="K586" s="89"/>
    </row>
    <row r="587" hidden="1">
      <c r="A587" s="85"/>
      <c r="B587" s="85"/>
      <c r="C587" s="86"/>
      <c r="D587" s="85"/>
      <c r="E587" s="87"/>
      <c r="F587" s="87"/>
      <c r="H587" s="85"/>
      <c r="I587" s="88"/>
      <c r="J587" s="88"/>
      <c r="K587" s="89"/>
    </row>
    <row r="588" hidden="1">
      <c r="A588" s="85"/>
      <c r="B588" s="85"/>
      <c r="C588" s="86"/>
      <c r="D588" s="85"/>
      <c r="E588" s="87"/>
      <c r="F588" s="87"/>
      <c r="H588" s="85"/>
      <c r="I588" s="88"/>
      <c r="J588" s="88"/>
      <c r="K588" s="89"/>
    </row>
    <row r="589" hidden="1">
      <c r="A589" s="85"/>
      <c r="B589" s="85"/>
      <c r="C589" s="86"/>
      <c r="D589" s="85"/>
      <c r="E589" s="87"/>
      <c r="F589" s="87"/>
      <c r="H589" s="85"/>
      <c r="I589" s="88"/>
      <c r="J589" s="88"/>
      <c r="K589" s="89"/>
    </row>
    <row r="590" hidden="1">
      <c r="A590" s="85"/>
      <c r="B590" s="85"/>
      <c r="C590" s="86"/>
      <c r="D590" s="85"/>
      <c r="E590" s="87"/>
      <c r="F590" s="87"/>
      <c r="H590" s="85"/>
      <c r="I590" s="88"/>
      <c r="J590" s="88"/>
      <c r="K590" s="89"/>
    </row>
    <row r="591" hidden="1">
      <c r="A591" s="85"/>
      <c r="B591" s="85"/>
      <c r="C591" s="86"/>
      <c r="D591" s="85"/>
      <c r="E591" s="87"/>
      <c r="F591" s="87"/>
      <c r="H591" s="85"/>
      <c r="I591" s="88"/>
      <c r="J591" s="88"/>
      <c r="K591" s="89"/>
    </row>
    <row r="592" hidden="1">
      <c r="A592" s="85"/>
      <c r="B592" s="85"/>
      <c r="C592" s="86"/>
      <c r="D592" s="85"/>
      <c r="E592" s="87"/>
      <c r="F592" s="87"/>
      <c r="H592" s="85"/>
      <c r="I592" s="88"/>
      <c r="J592" s="88"/>
      <c r="K592" s="89"/>
    </row>
    <row r="593" hidden="1">
      <c r="A593" s="85"/>
      <c r="B593" s="85"/>
      <c r="C593" s="86"/>
      <c r="D593" s="85"/>
      <c r="E593" s="87"/>
      <c r="F593" s="87"/>
      <c r="H593" s="85"/>
      <c r="I593" s="88"/>
      <c r="J593" s="88"/>
      <c r="K593" s="89"/>
    </row>
    <row r="594" hidden="1">
      <c r="A594" s="85"/>
      <c r="B594" s="85"/>
      <c r="C594" s="86"/>
      <c r="D594" s="85"/>
      <c r="E594" s="87"/>
      <c r="F594" s="87"/>
      <c r="H594" s="85"/>
      <c r="I594" s="88"/>
      <c r="J594" s="88"/>
      <c r="K594" s="89"/>
    </row>
    <row r="595" hidden="1">
      <c r="A595" s="85"/>
      <c r="B595" s="85"/>
      <c r="C595" s="86"/>
      <c r="D595" s="85"/>
      <c r="E595" s="87"/>
      <c r="F595" s="87"/>
      <c r="H595" s="85"/>
      <c r="I595" s="88"/>
      <c r="J595" s="88"/>
      <c r="K595" s="89"/>
    </row>
    <row r="596" hidden="1">
      <c r="A596" s="85"/>
      <c r="B596" s="85"/>
      <c r="C596" s="86"/>
      <c r="D596" s="85"/>
      <c r="E596" s="87"/>
      <c r="F596" s="87"/>
      <c r="H596" s="85"/>
      <c r="I596" s="88"/>
      <c r="J596" s="88"/>
      <c r="K596" s="89"/>
    </row>
    <row r="597" hidden="1">
      <c r="A597" s="85"/>
      <c r="B597" s="85"/>
      <c r="C597" s="86"/>
      <c r="D597" s="85"/>
      <c r="E597" s="87"/>
      <c r="F597" s="87"/>
      <c r="H597" s="85"/>
      <c r="I597" s="88"/>
      <c r="J597" s="88"/>
      <c r="K597" s="89"/>
    </row>
    <row r="598" hidden="1">
      <c r="A598" s="85"/>
      <c r="B598" s="85"/>
      <c r="C598" s="86"/>
      <c r="D598" s="85"/>
      <c r="E598" s="87"/>
      <c r="F598" s="87"/>
      <c r="H598" s="85"/>
      <c r="I598" s="88"/>
      <c r="J598" s="88"/>
      <c r="K598" s="89"/>
    </row>
    <row r="599" hidden="1">
      <c r="A599" s="85"/>
      <c r="B599" s="85"/>
      <c r="C599" s="86"/>
      <c r="D599" s="85"/>
      <c r="E599" s="87"/>
      <c r="F599" s="87"/>
      <c r="H599" s="85"/>
      <c r="I599" s="88"/>
      <c r="J599" s="88"/>
      <c r="K599" s="89"/>
    </row>
    <row r="600" hidden="1">
      <c r="A600" s="85"/>
      <c r="B600" s="85"/>
      <c r="C600" s="86"/>
      <c r="D600" s="85"/>
      <c r="E600" s="87"/>
      <c r="F600" s="87"/>
      <c r="H600" s="85"/>
      <c r="I600" s="88"/>
      <c r="J600" s="88"/>
      <c r="K600" s="89"/>
    </row>
    <row r="601" hidden="1">
      <c r="A601" s="85"/>
      <c r="B601" s="85"/>
      <c r="C601" s="86"/>
      <c r="D601" s="85"/>
      <c r="E601" s="87"/>
      <c r="F601" s="87"/>
      <c r="H601" s="85"/>
      <c r="I601" s="88"/>
      <c r="J601" s="88"/>
      <c r="K601" s="89"/>
    </row>
    <row r="602" hidden="1">
      <c r="A602" s="85"/>
      <c r="B602" s="85"/>
      <c r="C602" s="86"/>
      <c r="D602" s="85"/>
      <c r="E602" s="87"/>
      <c r="F602" s="87"/>
      <c r="H602" s="85"/>
      <c r="I602" s="88"/>
      <c r="J602" s="88"/>
      <c r="K602" s="89"/>
    </row>
    <row r="603" hidden="1">
      <c r="A603" s="85"/>
      <c r="B603" s="85"/>
      <c r="C603" s="86"/>
      <c r="D603" s="85"/>
      <c r="E603" s="87"/>
      <c r="F603" s="87"/>
      <c r="H603" s="85"/>
      <c r="I603" s="88"/>
      <c r="J603" s="88"/>
      <c r="K603" s="89"/>
    </row>
    <row r="604" hidden="1">
      <c r="A604" s="85"/>
      <c r="B604" s="85"/>
      <c r="C604" s="86"/>
      <c r="D604" s="85"/>
      <c r="E604" s="87"/>
      <c r="F604" s="87"/>
      <c r="H604" s="85"/>
      <c r="I604" s="88"/>
      <c r="J604" s="88"/>
      <c r="K604" s="89"/>
    </row>
    <row r="605" hidden="1">
      <c r="A605" s="85"/>
      <c r="B605" s="85"/>
      <c r="C605" s="86"/>
      <c r="D605" s="85"/>
      <c r="E605" s="87"/>
      <c r="F605" s="87"/>
      <c r="H605" s="85"/>
      <c r="I605" s="88"/>
      <c r="J605" s="88"/>
      <c r="K605" s="89"/>
    </row>
    <row r="606" hidden="1">
      <c r="A606" s="85"/>
      <c r="B606" s="85"/>
      <c r="C606" s="86"/>
      <c r="D606" s="85"/>
      <c r="E606" s="87"/>
      <c r="F606" s="87"/>
      <c r="H606" s="85"/>
      <c r="I606" s="88"/>
      <c r="J606" s="88"/>
      <c r="K606" s="89"/>
    </row>
    <row r="607" hidden="1">
      <c r="A607" s="85"/>
      <c r="B607" s="85"/>
      <c r="C607" s="86"/>
      <c r="D607" s="85"/>
      <c r="E607" s="87"/>
      <c r="F607" s="87"/>
      <c r="H607" s="85"/>
      <c r="I607" s="88"/>
      <c r="J607" s="88"/>
      <c r="K607" s="89"/>
    </row>
    <row r="608" hidden="1">
      <c r="A608" s="85"/>
      <c r="B608" s="85"/>
      <c r="C608" s="86"/>
      <c r="D608" s="85"/>
      <c r="E608" s="87"/>
      <c r="F608" s="87"/>
      <c r="H608" s="85"/>
      <c r="I608" s="88"/>
      <c r="J608" s="88"/>
      <c r="K608" s="89"/>
    </row>
    <row r="609" hidden="1">
      <c r="A609" s="85"/>
      <c r="B609" s="85"/>
      <c r="C609" s="86"/>
      <c r="D609" s="85"/>
      <c r="E609" s="87"/>
      <c r="F609" s="87"/>
      <c r="H609" s="85"/>
      <c r="I609" s="88"/>
      <c r="J609" s="88"/>
      <c r="K609" s="89"/>
    </row>
    <row r="610" hidden="1">
      <c r="A610" s="85"/>
      <c r="B610" s="85"/>
      <c r="C610" s="86"/>
      <c r="D610" s="85"/>
      <c r="E610" s="87"/>
      <c r="F610" s="87"/>
      <c r="H610" s="85"/>
      <c r="I610" s="88"/>
      <c r="J610" s="88"/>
      <c r="K610" s="89"/>
    </row>
    <row r="611" hidden="1">
      <c r="A611" s="85"/>
      <c r="B611" s="85"/>
      <c r="C611" s="86"/>
      <c r="D611" s="85"/>
      <c r="E611" s="87"/>
      <c r="F611" s="87"/>
      <c r="H611" s="85"/>
      <c r="I611" s="88"/>
      <c r="J611" s="88"/>
      <c r="K611" s="89"/>
    </row>
    <row r="612" hidden="1">
      <c r="A612" s="85"/>
      <c r="B612" s="85"/>
      <c r="C612" s="86"/>
      <c r="D612" s="85"/>
      <c r="E612" s="87"/>
      <c r="F612" s="87"/>
      <c r="H612" s="85"/>
      <c r="I612" s="88"/>
      <c r="J612" s="88"/>
      <c r="K612" s="89"/>
    </row>
    <row r="613" hidden="1">
      <c r="A613" s="85"/>
      <c r="B613" s="85"/>
      <c r="C613" s="86"/>
      <c r="D613" s="85"/>
      <c r="E613" s="87"/>
      <c r="F613" s="87"/>
      <c r="H613" s="85"/>
      <c r="I613" s="88"/>
      <c r="J613" s="88"/>
      <c r="K613" s="89"/>
    </row>
    <row r="614" hidden="1">
      <c r="A614" s="85"/>
      <c r="B614" s="85"/>
      <c r="C614" s="86"/>
      <c r="D614" s="85"/>
      <c r="E614" s="87"/>
      <c r="F614" s="87"/>
      <c r="H614" s="85"/>
      <c r="I614" s="88"/>
      <c r="J614" s="88"/>
      <c r="K614" s="89"/>
    </row>
    <row r="615" hidden="1">
      <c r="A615" s="85"/>
      <c r="B615" s="85"/>
      <c r="C615" s="86"/>
      <c r="D615" s="85"/>
      <c r="E615" s="87"/>
      <c r="F615" s="87"/>
      <c r="H615" s="85"/>
      <c r="I615" s="88"/>
      <c r="J615" s="88"/>
      <c r="K615" s="89"/>
    </row>
    <row r="616" hidden="1">
      <c r="A616" s="85"/>
      <c r="B616" s="85"/>
      <c r="C616" s="86"/>
      <c r="D616" s="85"/>
      <c r="E616" s="87"/>
      <c r="F616" s="87"/>
      <c r="H616" s="85"/>
      <c r="I616" s="88"/>
      <c r="J616" s="88"/>
      <c r="K616" s="89"/>
    </row>
    <row r="617" hidden="1">
      <c r="A617" s="85"/>
      <c r="B617" s="85"/>
      <c r="C617" s="86"/>
      <c r="D617" s="85"/>
      <c r="E617" s="87"/>
      <c r="F617" s="87"/>
      <c r="H617" s="85"/>
      <c r="I617" s="88"/>
      <c r="J617" s="88"/>
      <c r="K617" s="89"/>
    </row>
    <row r="618" hidden="1">
      <c r="A618" s="85"/>
      <c r="B618" s="85"/>
      <c r="C618" s="86"/>
      <c r="D618" s="85"/>
      <c r="E618" s="87"/>
      <c r="F618" s="87"/>
      <c r="H618" s="85"/>
      <c r="I618" s="88"/>
      <c r="J618" s="88"/>
      <c r="K618" s="89"/>
    </row>
    <row r="619" hidden="1">
      <c r="A619" s="85"/>
      <c r="B619" s="85"/>
      <c r="C619" s="86"/>
      <c r="D619" s="85"/>
      <c r="E619" s="87"/>
      <c r="F619" s="87"/>
      <c r="H619" s="85"/>
      <c r="I619" s="88"/>
      <c r="J619" s="88"/>
      <c r="K619" s="89"/>
    </row>
    <row r="620" hidden="1">
      <c r="A620" s="85"/>
      <c r="B620" s="85"/>
      <c r="C620" s="86"/>
      <c r="D620" s="85"/>
      <c r="E620" s="87"/>
      <c r="F620" s="87"/>
      <c r="H620" s="85"/>
      <c r="I620" s="88"/>
      <c r="J620" s="88"/>
      <c r="K620" s="89"/>
    </row>
    <row r="621" hidden="1">
      <c r="A621" s="85"/>
      <c r="B621" s="85"/>
      <c r="C621" s="86"/>
      <c r="D621" s="85"/>
      <c r="E621" s="87"/>
      <c r="F621" s="87"/>
      <c r="H621" s="85"/>
      <c r="I621" s="88"/>
      <c r="J621" s="88"/>
      <c r="K621" s="89"/>
    </row>
    <row r="622" hidden="1">
      <c r="A622" s="85"/>
      <c r="B622" s="85"/>
      <c r="C622" s="86"/>
      <c r="D622" s="85"/>
      <c r="E622" s="87"/>
      <c r="F622" s="87"/>
      <c r="H622" s="85"/>
      <c r="I622" s="88"/>
      <c r="J622" s="88"/>
      <c r="K622" s="89"/>
    </row>
    <row r="623" hidden="1">
      <c r="A623" s="85"/>
      <c r="B623" s="85"/>
      <c r="C623" s="86"/>
      <c r="D623" s="85"/>
      <c r="E623" s="87"/>
      <c r="F623" s="87"/>
      <c r="H623" s="85"/>
      <c r="I623" s="88"/>
      <c r="J623" s="88"/>
      <c r="K623" s="89"/>
    </row>
    <row r="624" hidden="1">
      <c r="A624" s="85"/>
      <c r="B624" s="85"/>
      <c r="C624" s="86"/>
      <c r="D624" s="85"/>
      <c r="E624" s="87"/>
      <c r="F624" s="87"/>
      <c r="H624" s="85"/>
      <c r="I624" s="88"/>
      <c r="J624" s="88"/>
      <c r="K624" s="89"/>
    </row>
    <row r="625" hidden="1">
      <c r="A625" s="85"/>
      <c r="B625" s="85"/>
      <c r="C625" s="86"/>
      <c r="D625" s="85"/>
      <c r="E625" s="87"/>
      <c r="F625" s="87"/>
      <c r="H625" s="85"/>
      <c r="I625" s="88"/>
      <c r="J625" s="88"/>
      <c r="K625" s="89"/>
    </row>
    <row r="626" hidden="1">
      <c r="A626" s="85"/>
      <c r="B626" s="85"/>
      <c r="C626" s="86"/>
      <c r="D626" s="85"/>
      <c r="E626" s="87"/>
      <c r="F626" s="87"/>
      <c r="H626" s="85"/>
      <c r="I626" s="88"/>
      <c r="J626" s="88"/>
      <c r="K626" s="89"/>
    </row>
    <row r="627" hidden="1">
      <c r="A627" s="85"/>
      <c r="B627" s="85"/>
      <c r="C627" s="86"/>
      <c r="D627" s="85"/>
      <c r="E627" s="87"/>
      <c r="F627" s="87"/>
      <c r="H627" s="85"/>
      <c r="I627" s="88"/>
      <c r="J627" s="88"/>
      <c r="K627" s="89"/>
    </row>
    <row r="628" hidden="1">
      <c r="A628" s="85"/>
      <c r="B628" s="85"/>
      <c r="C628" s="86"/>
      <c r="D628" s="85"/>
      <c r="E628" s="87"/>
      <c r="F628" s="87"/>
      <c r="H628" s="85"/>
      <c r="I628" s="88"/>
      <c r="J628" s="88"/>
      <c r="K628" s="89"/>
    </row>
    <row r="629" hidden="1">
      <c r="A629" s="85"/>
      <c r="B629" s="85"/>
      <c r="C629" s="86"/>
      <c r="D629" s="85"/>
      <c r="E629" s="87"/>
      <c r="F629" s="87"/>
      <c r="H629" s="85"/>
      <c r="I629" s="88"/>
      <c r="J629" s="88"/>
      <c r="K629" s="89"/>
    </row>
    <row r="630" hidden="1">
      <c r="A630" s="85"/>
      <c r="B630" s="85"/>
      <c r="C630" s="86"/>
      <c r="D630" s="85"/>
      <c r="E630" s="87"/>
      <c r="F630" s="87"/>
      <c r="H630" s="85"/>
      <c r="I630" s="88"/>
      <c r="J630" s="88"/>
      <c r="K630" s="89"/>
    </row>
    <row r="631" hidden="1">
      <c r="A631" s="85"/>
      <c r="B631" s="85"/>
      <c r="C631" s="86"/>
      <c r="D631" s="85"/>
      <c r="E631" s="87"/>
      <c r="F631" s="87"/>
      <c r="H631" s="85"/>
      <c r="I631" s="88"/>
      <c r="J631" s="88"/>
      <c r="K631" s="89"/>
    </row>
    <row r="632" hidden="1">
      <c r="A632" s="85"/>
      <c r="B632" s="85"/>
      <c r="C632" s="86"/>
      <c r="D632" s="85"/>
      <c r="E632" s="87"/>
      <c r="F632" s="87"/>
      <c r="H632" s="85"/>
      <c r="I632" s="88"/>
      <c r="J632" s="88"/>
      <c r="K632" s="89"/>
    </row>
    <row r="633" hidden="1">
      <c r="A633" s="85"/>
      <c r="B633" s="85"/>
      <c r="C633" s="86"/>
      <c r="D633" s="85"/>
      <c r="E633" s="87"/>
      <c r="F633" s="87"/>
      <c r="H633" s="85"/>
      <c r="I633" s="88"/>
      <c r="J633" s="88"/>
      <c r="K633" s="89"/>
    </row>
    <row r="634" hidden="1">
      <c r="A634" s="85"/>
      <c r="B634" s="85"/>
      <c r="C634" s="86"/>
      <c r="D634" s="85"/>
      <c r="E634" s="87"/>
      <c r="F634" s="87"/>
      <c r="H634" s="85"/>
      <c r="I634" s="88"/>
      <c r="J634" s="88"/>
      <c r="K634" s="89"/>
    </row>
    <row r="635" hidden="1">
      <c r="A635" s="85"/>
      <c r="B635" s="85"/>
      <c r="C635" s="86"/>
      <c r="D635" s="85"/>
      <c r="E635" s="87"/>
      <c r="F635" s="87"/>
      <c r="H635" s="85"/>
      <c r="I635" s="88"/>
      <c r="J635" s="88"/>
      <c r="K635" s="89"/>
    </row>
    <row r="636" hidden="1">
      <c r="A636" s="85"/>
      <c r="B636" s="85"/>
      <c r="C636" s="86"/>
      <c r="D636" s="85"/>
      <c r="E636" s="87"/>
      <c r="F636" s="87"/>
      <c r="H636" s="85"/>
      <c r="I636" s="88"/>
      <c r="J636" s="88"/>
      <c r="K636" s="89"/>
    </row>
    <row r="637" hidden="1">
      <c r="A637" s="85"/>
      <c r="B637" s="85"/>
      <c r="C637" s="86"/>
      <c r="D637" s="85"/>
      <c r="E637" s="87"/>
      <c r="F637" s="87"/>
      <c r="H637" s="85"/>
      <c r="I637" s="88"/>
      <c r="J637" s="88"/>
      <c r="K637" s="89"/>
    </row>
    <row r="638" hidden="1">
      <c r="A638" s="85"/>
      <c r="B638" s="85"/>
      <c r="C638" s="86"/>
      <c r="D638" s="85"/>
      <c r="E638" s="87"/>
      <c r="F638" s="87"/>
      <c r="H638" s="85"/>
      <c r="I638" s="88"/>
      <c r="J638" s="88"/>
      <c r="K638" s="89"/>
    </row>
    <row r="639" hidden="1">
      <c r="A639" s="85"/>
      <c r="B639" s="85"/>
      <c r="C639" s="86"/>
      <c r="D639" s="85"/>
      <c r="E639" s="87"/>
      <c r="F639" s="87"/>
      <c r="H639" s="85"/>
      <c r="I639" s="88"/>
      <c r="J639" s="88"/>
      <c r="K639" s="89"/>
    </row>
    <row r="640" hidden="1">
      <c r="A640" s="85"/>
      <c r="B640" s="85"/>
      <c r="C640" s="86"/>
      <c r="D640" s="85"/>
      <c r="E640" s="87"/>
      <c r="F640" s="87"/>
      <c r="H640" s="85"/>
      <c r="I640" s="88"/>
      <c r="J640" s="88"/>
      <c r="K640" s="89"/>
    </row>
    <row r="641" hidden="1">
      <c r="A641" s="85"/>
      <c r="B641" s="85"/>
      <c r="C641" s="86"/>
      <c r="D641" s="85"/>
      <c r="E641" s="87"/>
      <c r="F641" s="87"/>
      <c r="H641" s="85"/>
      <c r="I641" s="88"/>
      <c r="J641" s="88"/>
      <c r="K641" s="89"/>
    </row>
    <row r="642" hidden="1">
      <c r="A642" s="85"/>
      <c r="B642" s="85"/>
      <c r="C642" s="86"/>
      <c r="D642" s="85"/>
      <c r="E642" s="87"/>
      <c r="F642" s="87"/>
      <c r="H642" s="85"/>
      <c r="I642" s="88"/>
      <c r="J642" s="88"/>
      <c r="K642" s="89"/>
    </row>
    <row r="643" hidden="1">
      <c r="A643" s="85"/>
      <c r="B643" s="85"/>
      <c r="C643" s="86"/>
      <c r="D643" s="85"/>
      <c r="E643" s="87"/>
      <c r="F643" s="87"/>
      <c r="H643" s="85"/>
      <c r="I643" s="88"/>
      <c r="J643" s="88"/>
      <c r="K643" s="89"/>
    </row>
    <row r="644" hidden="1">
      <c r="A644" s="85"/>
      <c r="B644" s="85"/>
      <c r="C644" s="86"/>
      <c r="D644" s="85"/>
      <c r="E644" s="87"/>
      <c r="F644" s="87"/>
      <c r="H644" s="85"/>
      <c r="I644" s="88"/>
      <c r="J644" s="88"/>
      <c r="K644" s="89"/>
    </row>
    <row r="645" hidden="1">
      <c r="A645" s="85"/>
      <c r="B645" s="85"/>
      <c r="C645" s="86"/>
      <c r="D645" s="85"/>
      <c r="E645" s="87"/>
      <c r="F645" s="87"/>
      <c r="H645" s="85"/>
      <c r="I645" s="88"/>
      <c r="J645" s="88"/>
      <c r="K645" s="89"/>
    </row>
    <row r="646" hidden="1">
      <c r="A646" s="85"/>
      <c r="B646" s="85"/>
      <c r="C646" s="86"/>
      <c r="D646" s="85"/>
      <c r="E646" s="87"/>
      <c r="F646" s="87"/>
      <c r="H646" s="85"/>
      <c r="I646" s="88"/>
      <c r="J646" s="88"/>
      <c r="K646" s="89"/>
    </row>
    <row r="647" hidden="1">
      <c r="A647" s="85"/>
      <c r="B647" s="85"/>
      <c r="C647" s="86"/>
      <c r="D647" s="85"/>
      <c r="E647" s="87"/>
      <c r="F647" s="87"/>
      <c r="H647" s="85"/>
      <c r="I647" s="88"/>
      <c r="J647" s="88"/>
      <c r="K647" s="89"/>
    </row>
    <row r="648" hidden="1">
      <c r="A648" s="85"/>
      <c r="B648" s="85"/>
      <c r="C648" s="86"/>
      <c r="D648" s="85"/>
      <c r="E648" s="87"/>
      <c r="F648" s="87"/>
      <c r="H648" s="85"/>
      <c r="I648" s="88"/>
      <c r="J648" s="88"/>
      <c r="K648" s="89"/>
    </row>
    <row r="649" hidden="1">
      <c r="A649" s="85"/>
      <c r="B649" s="85"/>
      <c r="C649" s="86"/>
      <c r="D649" s="85"/>
      <c r="E649" s="87"/>
      <c r="F649" s="87"/>
      <c r="H649" s="85"/>
      <c r="I649" s="88"/>
      <c r="J649" s="88"/>
      <c r="K649" s="89"/>
    </row>
    <row r="650" hidden="1">
      <c r="A650" s="85"/>
      <c r="B650" s="85"/>
      <c r="C650" s="86"/>
      <c r="D650" s="85"/>
      <c r="E650" s="87"/>
      <c r="F650" s="87"/>
      <c r="H650" s="85"/>
      <c r="I650" s="88"/>
      <c r="J650" s="88"/>
      <c r="K650" s="89"/>
    </row>
    <row r="651" hidden="1">
      <c r="A651" s="85"/>
      <c r="B651" s="85"/>
      <c r="C651" s="86"/>
      <c r="D651" s="85"/>
      <c r="E651" s="87"/>
      <c r="F651" s="87"/>
      <c r="H651" s="85"/>
      <c r="I651" s="88"/>
      <c r="J651" s="88"/>
      <c r="K651" s="89"/>
    </row>
    <row r="652" hidden="1">
      <c r="A652" s="85"/>
      <c r="B652" s="85"/>
      <c r="C652" s="86"/>
      <c r="D652" s="85"/>
      <c r="E652" s="87"/>
      <c r="F652" s="87"/>
      <c r="H652" s="85"/>
      <c r="I652" s="88"/>
      <c r="J652" s="88"/>
      <c r="K652" s="89"/>
    </row>
    <row r="653" hidden="1">
      <c r="A653" s="85"/>
      <c r="B653" s="85"/>
      <c r="C653" s="86"/>
      <c r="D653" s="85"/>
      <c r="E653" s="87"/>
      <c r="F653" s="87"/>
      <c r="H653" s="85"/>
      <c r="I653" s="88"/>
      <c r="J653" s="88"/>
      <c r="K653" s="89"/>
    </row>
    <row r="654" hidden="1">
      <c r="A654" s="85"/>
      <c r="B654" s="85"/>
      <c r="C654" s="86"/>
      <c r="D654" s="85"/>
      <c r="E654" s="87"/>
      <c r="F654" s="87"/>
      <c r="H654" s="85"/>
      <c r="I654" s="88"/>
      <c r="J654" s="88"/>
      <c r="K654" s="89"/>
    </row>
    <row r="655" hidden="1">
      <c r="A655" s="85"/>
      <c r="B655" s="85"/>
      <c r="C655" s="86"/>
      <c r="D655" s="85"/>
      <c r="E655" s="87"/>
      <c r="F655" s="87"/>
      <c r="H655" s="85"/>
      <c r="I655" s="88"/>
      <c r="J655" s="88"/>
      <c r="K655" s="89"/>
    </row>
    <row r="656" hidden="1">
      <c r="A656" s="85"/>
      <c r="B656" s="85"/>
      <c r="C656" s="86"/>
      <c r="D656" s="85"/>
      <c r="E656" s="87"/>
      <c r="F656" s="87"/>
      <c r="H656" s="85"/>
      <c r="I656" s="88"/>
      <c r="J656" s="88"/>
      <c r="K656" s="89"/>
    </row>
    <row r="657" hidden="1">
      <c r="A657" s="85"/>
      <c r="B657" s="85"/>
      <c r="C657" s="86"/>
      <c r="D657" s="85"/>
      <c r="E657" s="87"/>
      <c r="F657" s="87"/>
      <c r="H657" s="85"/>
      <c r="I657" s="88"/>
      <c r="J657" s="88"/>
      <c r="K657" s="89"/>
    </row>
    <row r="658" hidden="1">
      <c r="A658" s="85"/>
      <c r="B658" s="85"/>
      <c r="C658" s="86"/>
      <c r="D658" s="85"/>
      <c r="E658" s="87"/>
      <c r="F658" s="87"/>
      <c r="H658" s="85"/>
      <c r="I658" s="88"/>
      <c r="J658" s="88"/>
      <c r="K658" s="89"/>
    </row>
    <row r="659" hidden="1">
      <c r="A659" s="85"/>
      <c r="B659" s="85"/>
      <c r="C659" s="86"/>
      <c r="D659" s="85"/>
      <c r="E659" s="87"/>
      <c r="F659" s="87"/>
      <c r="H659" s="85"/>
      <c r="I659" s="88"/>
      <c r="J659" s="88"/>
      <c r="K659" s="89"/>
    </row>
    <row r="660" hidden="1">
      <c r="A660" s="85"/>
      <c r="B660" s="85"/>
      <c r="C660" s="86"/>
      <c r="D660" s="85"/>
      <c r="E660" s="87"/>
      <c r="F660" s="87"/>
      <c r="H660" s="85"/>
      <c r="I660" s="88"/>
      <c r="J660" s="88"/>
      <c r="K660" s="89"/>
    </row>
    <row r="661" hidden="1">
      <c r="A661" s="85"/>
      <c r="B661" s="85"/>
      <c r="C661" s="86"/>
      <c r="D661" s="85"/>
      <c r="E661" s="87"/>
      <c r="F661" s="87"/>
      <c r="H661" s="85"/>
      <c r="I661" s="88"/>
      <c r="J661" s="88"/>
      <c r="K661" s="89"/>
    </row>
    <row r="662" hidden="1">
      <c r="A662" s="85"/>
      <c r="B662" s="85"/>
      <c r="C662" s="86"/>
      <c r="D662" s="85"/>
      <c r="E662" s="87"/>
      <c r="F662" s="87"/>
      <c r="H662" s="85"/>
      <c r="I662" s="88"/>
      <c r="J662" s="88"/>
      <c r="K662" s="89"/>
    </row>
    <row r="663" hidden="1">
      <c r="A663" s="85"/>
      <c r="B663" s="85"/>
      <c r="C663" s="86"/>
      <c r="D663" s="85"/>
      <c r="E663" s="87"/>
      <c r="F663" s="87"/>
      <c r="H663" s="85"/>
      <c r="I663" s="88"/>
      <c r="J663" s="88"/>
      <c r="K663" s="89"/>
    </row>
    <row r="664" hidden="1">
      <c r="A664" s="85"/>
      <c r="B664" s="85"/>
      <c r="C664" s="86"/>
      <c r="D664" s="85"/>
      <c r="E664" s="87"/>
      <c r="F664" s="87"/>
      <c r="H664" s="85"/>
      <c r="I664" s="88"/>
      <c r="J664" s="88"/>
      <c r="K664" s="89"/>
    </row>
    <row r="665" hidden="1">
      <c r="A665" s="85"/>
      <c r="B665" s="85"/>
      <c r="C665" s="86"/>
      <c r="D665" s="85"/>
      <c r="E665" s="87"/>
      <c r="F665" s="87"/>
      <c r="H665" s="85"/>
      <c r="I665" s="88"/>
      <c r="J665" s="88"/>
      <c r="K665" s="89"/>
    </row>
    <row r="666" hidden="1">
      <c r="A666" s="85"/>
      <c r="B666" s="85"/>
      <c r="C666" s="86"/>
      <c r="D666" s="85"/>
      <c r="E666" s="87"/>
      <c r="F666" s="87"/>
      <c r="H666" s="85"/>
      <c r="I666" s="88"/>
      <c r="J666" s="88"/>
      <c r="K666" s="89"/>
    </row>
    <row r="667" hidden="1">
      <c r="A667" s="85"/>
      <c r="B667" s="85"/>
      <c r="C667" s="86"/>
      <c r="D667" s="85"/>
      <c r="E667" s="87"/>
      <c r="F667" s="87"/>
      <c r="H667" s="85"/>
      <c r="I667" s="88"/>
      <c r="J667" s="88"/>
      <c r="K667" s="89"/>
    </row>
    <row r="668" hidden="1">
      <c r="A668" s="85"/>
      <c r="B668" s="85"/>
      <c r="C668" s="86"/>
      <c r="D668" s="85"/>
      <c r="E668" s="87"/>
      <c r="F668" s="87"/>
      <c r="H668" s="85"/>
      <c r="I668" s="88"/>
      <c r="J668" s="88"/>
      <c r="K668" s="89"/>
    </row>
    <row r="669" hidden="1">
      <c r="A669" s="85"/>
      <c r="B669" s="85"/>
      <c r="C669" s="86"/>
      <c r="D669" s="85"/>
      <c r="E669" s="87"/>
      <c r="F669" s="87"/>
      <c r="H669" s="85"/>
      <c r="I669" s="88"/>
      <c r="J669" s="88"/>
      <c r="K669" s="89"/>
    </row>
    <row r="670" hidden="1">
      <c r="A670" s="85"/>
      <c r="B670" s="85"/>
      <c r="C670" s="86"/>
      <c r="D670" s="85"/>
      <c r="E670" s="87"/>
      <c r="F670" s="87"/>
      <c r="H670" s="85"/>
      <c r="I670" s="88"/>
      <c r="J670" s="88"/>
      <c r="K670" s="89"/>
    </row>
    <row r="671" hidden="1">
      <c r="A671" s="85"/>
      <c r="B671" s="85"/>
      <c r="C671" s="86"/>
      <c r="D671" s="85"/>
      <c r="E671" s="87"/>
      <c r="F671" s="87"/>
      <c r="H671" s="85"/>
      <c r="I671" s="88"/>
      <c r="J671" s="88"/>
      <c r="K671" s="89"/>
    </row>
    <row r="672" hidden="1">
      <c r="A672" s="85"/>
      <c r="B672" s="85"/>
      <c r="C672" s="86"/>
      <c r="D672" s="85"/>
      <c r="E672" s="87"/>
      <c r="F672" s="87"/>
      <c r="H672" s="85"/>
      <c r="I672" s="88"/>
      <c r="J672" s="88"/>
      <c r="K672" s="89"/>
    </row>
    <row r="673" hidden="1">
      <c r="A673" s="85"/>
      <c r="B673" s="85"/>
      <c r="C673" s="86"/>
      <c r="D673" s="85"/>
      <c r="E673" s="87"/>
      <c r="F673" s="87"/>
      <c r="H673" s="85"/>
      <c r="I673" s="88"/>
      <c r="J673" s="88"/>
      <c r="K673" s="89"/>
    </row>
    <row r="674" hidden="1">
      <c r="A674" s="85"/>
      <c r="B674" s="85"/>
      <c r="C674" s="86"/>
      <c r="D674" s="85"/>
      <c r="E674" s="87"/>
      <c r="F674" s="87"/>
      <c r="H674" s="85"/>
      <c r="I674" s="88"/>
      <c r="J674" s="88"/>
      <c r="K674" s="89"/>
    </row>
    <row r="675" hidden="1">
      <c r="A675" s="85"/>
      <c r="B675" s="85"/>
      <c r="C675" s="86"/>
      <c r="D675" s="85"/>
      <c r="E675" s="87"/>
      <c r="F675" s="87"/>
      <c r="H675" s="85"/>
      <c r="I675" s="88"/>
      <c r="J675" s="88"/>
      <c r="K675" s="89"/>
    </row>
    <row r="676" hidden="1">
      <c r="A676" s="85"/>
      <c r="B676" s="85"/>
      <c r="C676" s="86"/>
      <c r="D676" s="85"/>
      <c r="E676" s="87"/>
      <c r="F676" s="87"/>
      <c r="H676" s="85"/>
      <c r="I676" s="88"/>
      <c r="J676" s="88"/>
      <c r="K676" s="89"/>
    </row>
    <row r="677" hidden="1">
      <c r="A677" s="85"/>
      <c r="B677" s="85"/>
      <c r="C677" s="86"/>
      <c r="D677" s="85"/>
      <c r="E677" s="87"/>
      <c r="F677" s="87"/>
      <c r="H677" s="85"/>
      <c r="I677" s="88"/>
      <c r="J677" s="88"/>
      <c r="K677" s="89"/>
    </row>
    <row r="678" hidden="1">
      <c r="A678" s="85"/>
      <c r="B678" s="85"/>
      <c r="C678" s="86"/>
      <c r="D678" s="85"/>
      <c r="E678" s="87"/>
      <c r="F678" s="87"/>
      <c r="H678" s="85"/>
      <c r="I678" s="88"/>
      <c r="J678" s="88"/>
      <c r="K678" s="89"/>
    </row>
    <row r="679" hidden="1">
      <c r="A679" s="85"/>
      <c r="B679" s="85"/>
      <c r="C679" s="86"/>
      <c r="D679" s="85"/>
      <c r="E679" s="87"/>
      <c r="F679" s="87"/>
      <c r="H679" s="85"/>
      <c r="I679" s="88"/>
      <c r="J679" s="88"/>
      <c r="K679" s="89"/>
    </row>
    <row r="680" hidden="1">
      <c r="A680" s="85"/>
      <c r="B680" s="85"/>
      <c r="C680" s="86"/>
      <c r="D680" s="85"/>
      <c r="E680" s="87"/>
      <c r="F680" s="87"/>
      <c r="H680" s="85"/>
      <c r="I680" s="88"/>
      <c r="J680" s="88"/>
      <c r="K680" s="89"/>
    </row>
    <row r="681" hidden="1">
      <c r="A681" s="85"/>
      <c r="B681" s="85"/>
      <c r="C681" s="86"/>
      <c r="D681" s="85"/>
      <c r="E681" s="87"/>
      <c r="F681" s="87"/>
      <c r="H681" s="85"/>
      <c r="I681" s="88"/>
      <c r="J681" s="88"/>
      <c r="K681" s="89"/>
    </row>
    <row r="682" hidden="1">
      <c r="A682" s="85"/>
      <c r="B682" s="85"/>
      <c r="C682" s="86"/>
      <c r="D682" s="85"/>
      <c r="E682" s="87"/>
      <c r="F682" s="87"/>
      <c r="H682" s="85"/>
      <c r="I682" s="88"/>
      <c r="J682" s="88"/>
      <c r="K682" s="89"/>
    </row>
    <row r="683" hidden="1">
      <c r="A683" s="85"/>
      <c r="B683" s="85"/>
      <c r="C683" s="86"/>
      <c r="D683" s="85"/>
      <c r="E683" s="87"/>
      <c r="F683" s="87"/>
      <c r="H683" s="85"/>
      <c r="I683" s="88"/>
      <c r="J683" s="88"/>
      <c r="K683" s="89"/>
    </row>
    <row r="684" hidden="1">
      <c r="A684" s="85"/>
      <c r="B684" s="85"/>
      <c r="C684" s="86"/>
      <c r="D684" s="85"/>
      <c r="E684" s="87"/>
      <c r="F684" s="87"/>
      <c r="H684" s="85"/>
      <c r="I684" s="88"/>
      <c r="J684" s="88"/>
      <c r="K684" s="89"/>
    </row>
    <row r="685" hidden="1">
      <c r="A685" s="85"/>
      <c r="B685" s="85"/>
      <c r="C685" s="86"/>
      <c r="D685" s="85"/>
      <c r="E685" s="87"/>
      <c r="F685" s="87"/>
      <c r="H685" s="85"/>
      <c r="I685" s="88"/>
      <c r="J685" s="88"/>
      <c r="K685" s="89"/>
    </row>
    <row r="686" hidden="1">
      <c r="A686" s="85"/>
      <c r="B686" s="85"/>
      <c r="C686" s="86"/>
      <c r="D686" s="85"/>
      <c r="E686" s="87"/>
      <c r="F686" s="87"/>
      <c r="H686" s="85"/>
      <c r="I686" s="88"/>
      <c r="J686" s="88"/>
      <c r="K686" s="89"/>
    </row>
    <row r="687" hidden="1">
      <c r="A687" s="85"/>
      <c r="B687" s="85"/>
      <c r="C687" s="86"/>
      <c r="D687" s="85"/>
      <c r="E687" s="87"/>
      <c r="F687" s="87"/>
      <c r="H687" s="85"/>
      <c r="I687" s="88"/>
      <c r="J687" s="88"/>
      <c r="K687" s="89"/>
    </row>
    <row r="688" hidden="1">
      <c r="A688" s="85"/>
      <c r="B688" s="85"/>
      <c r="C688" s="86"/>
      <c r="D688" s="85"/>
      <c r="E688" s="87"/>
      <c r="F688" s="87"/>
      <c r="H688" s="85"/>
      <c r="I688" s="88"/>
      <c r="J688" s="88"/>
      <c r="K688" s="89"/>
    </row>
    <row r="689" hidden="1">
      <c r="A689" s="85"/>
      <c r="B689" s="85"/>
      <c r="C689" s="86"/>
      <c r="D689" s="85"/>
      <c r="E689" s="87"/>
      <c r="F689" s="87"/>
      <c r="H689" s="85"/>
      <c r="I689" s="88"/>
      <c r="J689" s="88"/>
      <c r="K689" s="89"/>
    </row>
    <row r="690" hidden="1">
      <c r="A690" s="85"/>
      <c r="B690" s="85"/>
      <c r="C690" s="86"/>
      <c r="D690" s="85"/>
      <c r="E690" s="87"/>
      <c r="F690" s="87"/>
      <c r="H690" s="85"/>
      <c r="I690" s="88"/>
      <c r="J690" s="88"/>
      <c r="K690" s="89"/>
    </row>
    <row r="691" hidden="1">
      <c r="A691" s="85"/>
      <c r="B691" s="85"/>
      <c r="C691" s="86"/>
      <c r="D691" s="85"/>
      <c r="E691" s="87"/>
      <c r="F691" s="87"/>
      <c r="H691" s="85"/>
      <c r="I691" s="88"/>
      <c r="J691" s="88"/>
      <c r="K691" s="89"/>
    </row>
    <row r="692" hidden="1">
      <c r="A692" s="85"/>
      <c r="B692" s="85"/>
      <c r="C692" s="86"/>
      <c r="D692" s="85"/>
      <c r="E692" s="87"/>
      <c r="F692" s="87"/>
      <c r="H692" s="85"/>
      <c r="I692" s="88"/>
      <c r="J692" s="88"/>
      <c r="K692" s="89"/>
    </row>
    <row r="693" hidden="1">
      <c r="A693" s="85"/>
      <c r="B693" s="85"/>
      <c r="C693" s="86"/>
      <c r="D693" s="85"/>
      <c r="E693" s="87"/>
      <c r="F693" s="87"/>
      <c r="H693" s="85"/>
      <c r="I693" s="88"/>
      <c r="J693" s="88"/>
      <c r="K693" s="89"/>
    </row>
    <row r="694" hidden="1">
      <c r="A694" s="85"/>
      <c r="B694" s="85"/>
      <c r="C694" s="86"/>
      <c r="D694" s="85"/>
      <c r="E694" s="87"/>
      <c r="F694" s="87"/>
      <c r="H694" s="85"/>
      <c r="I694" s="88"/>
      <c r="J694" s="88"/>
      <c r="K694" s="89"/>
    </row>
    <row r="695" hidden="1">
      <c r="A695" s="85"/>
      <c r="B695" s="85"/>
      <c r="C695" s="86"/>
      <c r="D695" s="85"/>
      <c r="E695" s="87"/>
      <c r="F695" s="87"/>
      <c r="H695" s="85"/>
      <c r="I695" s="88"/>
      <c r="J695" s="88"/>
      <c r="K695" s="89"/>
    </row>
    <row r="696" hidden="1">
      <c r="A696" s="85"/>
      <c r="B696" s="85"/>
      <c r="C696" s="86"/>
      <c r="D696" s="85"/>
      <c r="E696" s="87"/>
      <c r="F696" s="87"/>
      <c r="H696" s="85"/>
      <c r="I696" s="88"/>
      <c r="J696" s="88"/>
      <c r="K696" s="89"/>
    </row>
    <row r="697" hidden="1">
      <c r="A697" s="85"/>
      <c r="B697" s="85"/>
      <c r="C697" s="86"/>
      <c r="D697" s="85"/>
      <c r="E697" s="87"/>
      <c r="F697" s="87"/>
      <c r="H697" s="85"/>
      <c r="I697" s="88"/>
      <c r="J697" s="88"/>
      <c r="K697" s="89"/>
    </row>
    <row r="698" hidden="1">
      <c r="A698" s="85"/>
      <c r="B698" s="85"/>
      <c r="C698" s="86"/>
      <c r="D698" s="85"/>
      <c r="E698" s="87"/>
      <c r="F698" s="87"/>
      <c r="H698" s="85"/>
      <c r="I698" s="88"/>
      <c r="J698" s="88"/>
      <c r="K698" s="89"/>
    </row>
    <row r="699" hidden="1">
      <c r="A699" s="85"/>
      <c r="B699" s="85"/>
      <c r="C699" s="86"/>
      <c r="D699" s="85"/>
      <c r="E699" s="87"/>
      <c r="F699" s="87"/>
      <c r="H699" s="85"/>
      <c r="I699" s="88"/>
      <c r="J699" s="88"/>
      <c r="K699" s="89"/>
    </row>
    <row r="700" hidden="1">
      <c r="A700" s="85"/>
      <c r="B700" s="85"/>
      <c r="C700" s="86"/>
      <c r="D700" s="85"/>
      <c r="E700" s="87"/>
      <c r="F700" s="87"/>
      <c r="H700" s="85"/>
      <c r="I700" s="88"/>
      <c r="J700" s="88"/>
      <c r="K700" s="89"/>
    </row>
    <row r="701" hidden="1">
      <c r="A701" s="85"/>
      <c r="B701" s="85"/>
      <c r="C701" s="86"/>
      <c r="D701" s="85"/>
      <c r="E701" s="87"/>
      <c r="F701" s="87"/>
      <c r="H701" s="85"/>
      <c r="I701" s="88"/>
      <c r="J701" s="88"/>
      <c r="K701" s="89"/>
    </row>
    <row r="702" hidden="1">
      <c r="A702" s="85"/>
      <c r="B702" s="85"/>
      <c r="C702" s="86"/>
      <c r="D702" s="85"/>
      <c r="E702" s="87"/>
      <c r="F702" s="87"/>
      <c r="H702" s="85"/>
      <c r="I702" s="88"/>
      <c r="J702" s="88"/>
      <c r="K702" s="89"/>
    </row>
    <row r="703" hidden="1">
      <c r="A703" s="85"/>
      <c r="B703" s="85"/>
      <c r="C703" s="86"/>
      <c r="D703" s="85"/>
      <c r="E703" s="87"/>
      <c r="F703" s="87"/>
      <c r="H703" s="85"/>
      <c r="I703" s="88"/>
      <c r="J703" s="88"/>
      <c r="K703" s="89"/>
    </row>
    <row r="704" hidden="1">
      <c r="A704" s="85"/>
      <c r="B704" s="85"/>
      <c r="C704" s="86"/>
      <c r="D704" s="85"/>
      <c r="E704" s="87"/>
      <c r="F704" s="87"/>
      <c r="H704" s="85"/>
      <c r="I704" s="88"/>
      <c r="J704" s="88"/>
      <c r="K704" s="89"/>
    </row>
    <row r="705" hidden="1">
      <c r="A705" s="85"/>
      <c r="B705" s="85"/>
      <c r="C705" s="86"/>
      <c r="D705" s="85"/>
      <c r="E705" s="87"/>
      <c r="F705" s="87"/>
      <c r="H705" s="85"/>
      <c r="I705" s="88"/>
      <c r="J705" s="88"/>
      <c r="K705" s="89"/>
    </row>
    <row r="706" hidden="1">
      <c r="A706" s="85"/>
      <c r="B706" s="85"/>
      <c r="C706" s="86"/>
      <c r="D706" s="85"/>
      <c r="E706" s="87"/>
      <c r="F706" s="87"/>
      <c r="H706" s="85"/>
      <c r="I706" s="88"/>
      <c r="J706" s="88"/>
      <c r="K706" s="89"/>
    </row>
    <row r="707" hidden="1">
      <c r="A707" s="85"/>
      <c r="B707" s="85"/>
      <c r="C707" s="86"/>
      <c r="D707" s="85"/>
      <c r="E707" s="87"/>
      <c r="F707" s="87"/>
      <c r="H707" s="85"/>
      <c r="I707" s="88"/>
      <c r="J707" s="88"/>
      <c r="K707" s="89"/>
    </row>
    <row r="708" hidden="1">
      <c r="A708" s="85"/>
      <c r="B708" s="85"/>
      <c r="C708" s="86"/>
      <c r="D708" s="85"/>
      <c r="E708" s="87"/>
      <c r="F708" s="87"/>
      <c r="H708" s="85"/>
      <c r="I708" s="88"/>
      <c r="J708" s="88"/>
      <c r="K708" s="89"/>
    </row>
    <row r="709" hidden="1">
      <c r="A709" s="85"/>
      <c r="B709" s="85"/>
      <c r="C709" s="86"/>
      <c r="D709" s="85"/>
      <c r="E709" s="87"/>
      <c r="F709" s="87"/>
      <c r="H709" s="85"/>
      <c r="I709" s="88"/>
      <c r="J709" s="88"/>
      <c r="K709" s="89"/>
    </row>
    <row r="710" hidden="1">
      <c r="A710" s="85"/>
      <c r="B710" s="85"/>
      <c r="C710" s="86"/>
      <c r="D710" s="85"/>
      <c r="E710" s="87"/>
      <c r="F710" s="87"/>
      <c r="H710" s="85"/>
      <c r="I710" s="88"/>
      <c r="J710" s="88"/>
      <c r="K710" s="89"/>
    </row>
    <row r="711" hidden="1">
      <c r="A711" s="85"/>
      <c r="B711" s="85"/>
      <c r="C711" s="86"/>
      <c r="D711" s="85"/>
      <c r="E711" s="87"/>
      <c r="F711" s="87"/>
      <c r="H711" s="85"/>
      <c r="I711" s="88"/>
      <c r="J711" s="88"/>
      <c r="K711" s="89"/>
    </row>
    <row r="712" hidden="1">
      <c r="A712" s="85"/>
      <c r="B712" s="85"/>
      <c r="C712" s="86"/>
      <c r="D712" s="85"/>
      <c r="E712" s="87"/>
      <c r="F712" s="87"/>
      <c r="H712" s="85"/>
      <c r="I712" s="88"/>
      <c r="J712" s="88"/>
      <c r="K712" s="89"/>
    </row>
    <row r="713" hidden="1">
      <c r="A713" s="85"/>
      <c r="B713" s="85"/>
      <c r="C713" s="86"/>
      <c r="D713" s="85"/>
      <c r="E713" s="87"/>
      <c r="F713" s="87"/>
      <c r="H713" s="85"/>
      <c r="I713" s="88"/>
      <c r="J713" s="88"/>
      <c r="K713" s="89"/>
    </row>
    <row r="714" hidden="1">
      <c r="A714" s="85"/>
      <c r="B714" s="85"/>
      <c r="C714" s="86"/>
      <c r="D714" s="85"/>
      <c r="E714" s="87"/>
      <c r="F714" s="87"/>
      <c r="H714" s="85"/>
      <c r="I714" s="88"/>
      <c r="J714" s="88"/>
      <c r="K714" s="89"/>
    </row>
    <row r="715" hidden="1">
      <c r="A715" s="85"/>
      <c r="B715" s="85"/>
      <c r="C715" s="86"/>
      <c r="D715" s="85"/>
      <c r="E715" s="87"/>
      <c r="F715" s="87"/>
      <c r="H715" s="85"/>
      <c r="I715" s="88"/>
      <c r="J715" s="88"/>
      <c r="K715" s="89"/>
    </row>
    <row r="716" hidden="1">
      <c r="A716" s="85"/>
      <c r="B716" s="85"/>
      <c r="C716" s="86"/>
      <c r="D716" s="85"/>
      <c r="E716" s="87"/>
      <c r="F716" s="87"/>
      <c r="H716" s="85"/>
      <c r="I716" s="88"/>
      <c r="J716" s="88"/>
      <c r="K716" s="89"/>
    </row>
    <row r="717" hidden="1">
      <c r="A717" s="85"/>
      <c r="B717" s="85"/>
      <c r="C717" s="86"/>
      <c r="D717" s="85"/>
      <c r="E717" s="87"/>
      <c r="F717" s="87"/>
      <c r="H717" s="85"/>
      <c r="I717" s="88"/>
      <c r="J717" s="88"/>
      <c r="K717" s="89"/>
    </row>
    <row r="718" hidden="1">
      <c r="A718" s="85"/>
      <c r="B718" s="85"/>
      <c r="C718" s="86"/>
      <c r="D718" s="85"/>
      <c r="E718" s="87"/>
      <c r="F718" s="87"/>
      <c r="H718" s="85"/>
      <c r="I718" s="88"/>
      <c r="J718" s="88"/>
      <c r="K718" s="89"/>
    </row>
    <row r="719" hidden="1">
      <c r="A719" s="85"/>
      <c r="B719" s="85"/>
      <c r="C719" s="86"/>
      <c r="D719" s="85"/>
      <c r="E719" s="87"/>
      <c r="F719" s="87"/>
      <c r="H719" s="85"/>
      <c r="I719" s="88"/>
      <c r="J719" s="88"/>
      <c r="K719" s="89"/>
    </row>
    <row r="720" hidden="1">
      <c r="A720" s="85"/>
      <c r="B720" s="85"/>
      <c r="C720" s="86"/>
      <c r="D720" s="85"/>
      <c r="E720" s="87"/>
      <c r="F720" s="87"/>
      <c r="H720" s="85"/>
      <c r="I720" s="88"/>
      <c r="J720" s="88"/>
      <c r="K720" s="89"/>
    </row>
    <row r="721" hidden="1">
      <c r="A721" s="85"/>
      <c r="B721" s="85"/>
      <c r="C721" s="86"/>
      <c r="D721" s="85"/>
      <c r="E721" s="87"/>
      <c r="F721" s="87"/>
      <c r="H721" s="85"/>
      <c r="I721" s="88"/>
      <c r="J721" s="88"/>
      <c r="K721" s="89"/>
    </row>
    <row r="722" hidden="1">
      <c r="A722" s="85"/>
      <c r="B722" s="85"/>
      <c r="C722" s="86"/>
      <c r="D722" s="85"/>
      <c r="E722" s="87"/>
      <c r="F722" s="87"/>
      <c r="H722" s="85"/>
      <c r="I722" s="88"/>
      <c r="J722" s="88"/>
      <c r="K722" s="89"/>
    </row>
    <row r="723" hidden="1">
      <c r="A723" s="85"/>
      <c r="B723" s="85"/>
      <c r="C723" s="86"/>
      <c r="D723" s="85"/>
      <c r="E723" s="87"/>
      <c r="F723" s="87"/>
      <c r="H723" s="85"/>
      <c r="I723" s="88"/>
      <c r="J723" s="88"/>
      <c r="K723" s="89"/>
    </row>
    <row r="724" hidden="1">
      <c r="A724" s="85"/>
      <c r="B724" s="85"/>
      <c r="C724" s="86"/>
      <c r="D724" s="85"/>
      <c r="E724" s="87"/>
      <c r="F724" s="87"/>
      <c r="H724" s="85"/>
      <c r="I724" s="88"/>
      <c r="J724" s="88"/>
      <c r="K724" s="89"/>
    </row>
    <row r="725" hidden="1">
      <c r="A725" s="85"/>
      <c r="B725" s="85"/>
      <c r="C725" s="86"/>
      <c r="D725" s="85"/>
      <c r="E725" s="87"/>
      <c r="F725" s="87"/>
      <c r="H725" s="85"/>
      <c r="I725" s="88"/>
      <c r="J725" s="88"/>
      <c r="K725" s="89"/>
    </row>
    <row r="726" hidden="1">
      <c r="A726" s="85"/>
      <c r="B726" s="85"/>
      <c r="C726" s="86"/>
      <c r="D726" s="85"/>
      <c r="E726" s="87"/>
      <c r="F726" s="87"/>
      <c r="H726" s="85"/>
      <c r="I726" s="88"/>
      <c r="J726" s="88"/>
      <c r="K726" s="89"/>
    </row>
    <row r="727" hidden="1">
      <c r="A727" s="85"/>
      <c r="B727" s="85"/>
      <c r="C727" s="86"/>
      <c r="D727" s="85"/>
      <c r="E727" s="87"/>
      <c r="F727" s="87"/>
      <c r="H727" s="85"/>
      <c r="I727" s="88"/>
      <c r="J727" s="88"/>
      <c r="K727" s="89"/>
    </row>
    <row r="728" hidden="1">
      <c r="A728" s="85"/>
      <c r="B728" s="85"/>
      <c r="C728" s="86"/>
      <c r="D728" s="85"/>
      <c r="E728" s="87"/>
      <c r="F728" s="87"/>
      <c r="H728" s="85"/>
      <c r="I728" s="88"/>
      <c r="J728" s="88"/>
      <c r="K728" s="89"/>
    </row>
    <row r="729" hidden="1">
      <c r="A729" s="85"/>
      <c r="B729" s="85"/>
      <c r="C729" s="86"/>
      <c r="D729" s="85"/>
      <c r="E729" s="87"/>
      <c r="F729" s="87"/>
      <c r="H729" s="85"/>
      <c r="I729" s="88"/>
      <c r="J729" s="88"/>
      <c r="K729" s="89"/>
    </row>
    <row r="730" hidden="1">
      <c r="A730" s="85"/>
      <c r="B730" s="85"/>
      <c r="C730" s="86"/>
      <c r="D730" s="85"/>
      <c r="E730" s="87"/>
      <c r="F730" s="87"/>
      <c r="H730" s="85"/>
      <c r="I730" s="88"/>
      <c r="J730" s="88"/>
      <c r="K730" s="89"/>
    </row>
    <row r="731" hidden="1">
      <c r="A731" s="85"/>
      <c r="B731" s="85"/>
      <c r="C731" s="86"/>
      <c r="D731" s="85"/>
      <c r="E731" s="87"/>
      <c r="F731" s="87"/>
      <c r="H731" s="85"/>
      <c r="I731" s="88"/>
      <c r="J731" s="88"/>
      <c r="K731" s="89"/>
    </row>
    <row r="732" hidden="1">
      <c r="A732" s="85"/>
      <c r="B732" s="85"/>
      <c r="C732" s="86"/>
      <c r="D732" s="85"/>
      <c r="E732" s="87"/>
      <c r="F732" s="87"/>
      <c r="H732" s="85"/>
      <c r="I732" s="88"/>
      <c r="J732" s="88"/>
      <c r="K732" s="89"/>
    </row>
    <row r="733" hidden="1">
      <c r="A733" s="85"/>
      <c r="B733" s="85"/>
      <c r="C733" s="86"/>
      <c r="D733" s="85"/>
      <c r="E733" s="87"/>
      <c r="F733" s="87"/>
      <c r="H733" s="85"/>
      <c r="I733" s="88"/>
      <c r="J733" s="88"/>
      <c r="K733" s="89"/>
    </row>
    <row r="734" hidden="1">
      <c r="A734" s="85"/>
      <c r="B734" s="85"/>
      <c r="C734" s="86"/>
      <c r="D734" s="85"/>
      <c r="E734" s="87"/>
      <c r="F734" s="87"/>
      <c r="H734" s="85"/>
      <c r="I734" s="88"/>
      <c r="J734" s="88"/>
      <c r="K734" s="89"/>
    </row>
    <row r="735" hidden="1">
      <c r="A735" s="85"/>
      <c r="B735" s="85"/>
      <c r="C735" s="86"/>
      <c r="D735" s="85"/>
      <c r="E735" s="87"/>
      <c r="F735" s="87"/>
      <c r="H735" s="85"/>
      <c r="I735" s="88"/>
      <c r="J735" s="88"/>
      <c r="K735" s="89"/>
    </row>
    <row r="736" hidden="1">
      <c r="A736" s="85"/>
      <c r="B736" s="85"/>
      <c r="C736" s="86"/>
      <c r="D736" s="85"/>
      <c r="E736" s="87"/>
      <c r="F736" s="87"/>
      <c r="H736" s="85"/>
      <c r="I736" s="88"/>
      <c r="J736" s="88"/>
      <c r="K736" s="89"/>
    </row>
    <row r="737" hidden="1">
      <c r="A737" s="85"/>
      <c r="B737" s="85"/>
      <c r="C737" s="86"/>
      <c r="D737" s="85"/>
      <c r="E737" s="87"/>
      <c r="F737" s="87"/>
      <c r="H737" s="85"/>
      <c r="I737" s="88"/>
      <c r="J737" s="88"/>
      <c r="K737" s="89"/>
    </row>
    <row r="738" hidden="1">
      <c r="A738" s="85"/>
      <c r="B738" s="85"/>
      <c r="C738" s="86"/>
      <c r="D738" s="85"/>
      <c r="E738" s="87"/>
      <c r="F738" s="87"/>
      <c r="H738" s="85"/>
      <c r="I738" s="88"/>
      <c r="J738" s="88"/>
      <c r="K738" s="89"/>
    </row>
    <row r="739" hidden="1">
      <c r="A739" s="85"/>
      <c r="B739" s="85"/>
      <c r="C739" s="86"/>
      <c r="D739" s="85"/>
      <c r="E739" s="87"/>
      <c r="F739" s="87"/>
      <c r="H739" s="85"/>
      <c r="I739" s="88"/>
      <c r="J739" s="88"/>
      <c r="K739" s="89"/>
    </row>
    <row r="740" hidden="1">
      <c r="A740" s="85"/>
      <c r="B740" s="85"/>
      <c r="C740" s="86"/>
      <c r="D740" s="85"/>
      <c r="E740" s="87"/>
      <c r="F740" s="87"/>
      <c r="H740" s="85"/>
      <c r="I740" s="88"/>
      <c r="J740" s="88"/>
      <c r="K740" s="89"/>
    </row>
    <row r="741" hidden="1">
      <c r="A741" s="85"/>
      <c r="B741" s="85"/>
      <c r="C741" s="86"/>
      <c r="D741" s="85"/>
      <c r="E741" s="87"/>
      <c r="F741" s="87"/>
      <c r="H741" s="85"/>
      <c r="I741" s="88"/>
      <c r="J741" s="88"/>
      <c r="K741" s="89"/>
    </row>
    <row r="742" hidden="1">
      <c r="A742" s="85"/>
      <c r="B742" s="85"/>
      <c r="C742" s="86"/>
      <c r="D742" s="85"/>
      <c r="E742" s="87"/>
      <c r="F742" s="87"/>
      <c r="H742" s="85"/>
      <c r="I742" s="88"/>
      <c r="J742" s="88"/>
      <c r="K742" s="89"/>
    </row>
    <row r="743" hidden="1">
      <c r="A743" s="85"/>
      <c r="B743" s="85"/>
      <c r="C743" s="86"/>
      <c r="D743" s="85"/>
      <c r="E743" s="87"/>
      <c r="F743" s="87"/>
      <c r="H743" s="85"/>
      <c r="I743" s="88"/>
      <c r="J743" s="88"/>
      <c r="K743" s="89"/>
    </row>
    <row r="744" hidden="1">
      <c r="A744" s="85"/>
      <c r="B744" s="85"/>
      <c r="C744" s="86"/>
      <c r="D744" s="85"/>
      <c r="E744" s="87"/>
      <c r="F744" s="87"/>
      <c r="H744" s="85"/>
      <c r="I744" s="88"/>
      <c r="J744" s="88"/>
      <c r="K744" s="89"/>
    </row>
    <row r="745" hidden="1">
      <c r="A745" s="85"/>
      <c r="B745" s="85"/>
      <c r="C745" s="86"/>
      <c r="D745" s="85"/>
      <c r="E745" s="87"/>
      <c r="F745" s="87"/>
      <c r="H745" s="85"/>
      <c r="I745" s="88"/>
      <c r="J745" s="88"/>
      <c r="K745" s="89"/>
    </row>
    <row r="746" hidden="1">
      <c r="A746" s="85"/>
      <c r="B746" s="85"/>
      <c r="C746" s="86"/>
      <c r="D746" s="85"/>
      <c r="E746" s="87"/>
      <c r="F746" s="87"/>
      <c r="H746" s="85"/>
      <c r="I746" s="88"/>
      <c r="J746" s="88"/>
      <c r="K746" s="89"/>
    </row>
    <row r="747" hidden="1">
      <c r="A747" s="85"/>
      <c r="B747" s="85"/>
      <c r="C747" s="86"/>
      <c r="D747" s="85"/>
      <c r="E747" s="87"/>
      <c r="F747" s="87"/>
      <c r="H747" s="85"/>
      <c r="I747" s="88"/>
      <c r="J747" s="88"/>
      <c r="K747" s="89"/>
    </row>
    <row r="748" hidden="1">
      <c r="A748" s="85"/>
      <c r="B748" s="85"/>
      <c r="C748" s="86"/>
      <c r="D748" s="85"/>
      <c r="E748" s="87"/>
      <c r="F748" s="87"/>
      <c r="H748" s="85"/>
      <c r="I748" s="88"/>
      <c r="J748" s="88"/>
      <c r="K748" s="89"/>
    </row>
    <row r="749" hidden="1">
      <c r="A749" s="85"/>
      <c r="B749" s="85"/>
      <c r="C749" s="86"/>
      <c r="D749" s="85"/>
      <c r="E749" s="87"/>
      <c r="F749" s="87"/>
      <c r="H749" s="85"/>
      <c r="I749" s="88"/>
      <c r="J749" s="88"/>
      <c r="K749" s="89"/>
    </row>
    <row r="750" hidden="1">
      <c r="A750" s="85"/>
      <c r="B750" s="85"/>
      <c r="C750" s="86"/>
      <c r="D750" s="85"/>
      <c r="E750" s="87"/>
      <c r="F750" s="87"/>
      <c r="H750" s="85"/>
      <c r="I750" s="88"/>
      <c r="J750" s="88"/>
      <c r="K750" s="89"/>
    </row>
    <row r="751" hidden="1">
      <c r="A751" s="85"/>
      <c r="B751" s="85"/>
      <c r="C751" s="86"/>
      <c r="D751" s="85"/>
      <c r="E751" s="87"/>
      <c r="F751" s="87"/>
      <c r="H751" s="85"/>
      <c r="I751" s="88"/>
      <c r="J751" s="88"/>
      <c r="K751" s="89"/>
    </row>
    <row r="752" hidden="1">
      <c r="A752" s="85"/>
      <c r="B752" s="85"/>
      <c r="C752" s="86"/>
      <c r="D752" s="85"/>
      <c r="E752" s="87"/>
      <c r="F752" s="87"/>
      <c r="H752" s="85"/>
      <c r="I752" s="88"/>
      <c r="J752" s="88"/>
      <c r="K752" s="89"/>
    </row>
    <row r="753" hidden="1">
      <c r="A753" s="85"/>
      <c r="B753" s="85"/>
      <c r="C753" s="86"/>
      <c r="D753" s="85"/>
      <c r="E753" s="87"/>
      <c r="F753" s="87"/>
      <c r="H753" s="85"/>
      <c r="I753" s="88"/>
      <c r="J753" s="88"/>
      <c r="K753" s="89"/>
    </row>
    <row r="754" hidden="1">
      <c r="A754" s="85"/>
      <c r="B754" s="85"/>
      <c r="C754" s="86"/>
      <c r="D754" s="85"/>
      <c r="E754" s="87"/>
      <c r="F754" s="87"/>
      <c r="H754" s="85"/>
      <c r="I754" s="88"/>
      <c r="J754" s="88"/>
      <c r="K754" s="89"/>
    </row>
    <row r="755" hidden="1">
      <c r="A755" s="85"/>
      <c r="B755" s="85"/>
      <c r="C755" s="86"/>
      <c r="D755" s="85"/>
      <c r="E755" s="87"/>
      <c r="F755" s="87"/>
      <c r="H755" s="85"/>
      <c r="I755" s="88"/>
      <c r="J755" s="88"/>
      <c r="K755" s="89"/>
    </row>
    <row r="756" hidden="1">
      <c r="A756" s="85"/>
      <c r="B756" s="85"/>
      <c r="C756" s="86"/>
      <c r="D756" s="85"/>
      <c r="E756" s="87"/>
      <c r="F756" s="87"/>
      <c r="H756" s="85"/>
      <c r="I756" s="88"/>
      <c r="J756" s="88"/>
      <c r="K756" s="89"/>
    </row>
    <row r="757" hidden="1">
      <c r="A757" s="85"/>
      <c r="B757" s="85"/>
      <c r="C757" s="86"/>
      <c r="D757" s="85"/>
      <c r="E757" s="87"/>
      <c r="F757" s="87"/>
      <c r="H757" s="85"/>
      <c r="I757" s="88"/>
      <c r="J757" s="88"/>
      <c r="K757" s="89"/>
    </row>
    <row r="758" hidden="1">
      <c r="A758" s="85"/>
      <c r="B758" s="85"/>
      <c r="C758" s="86"/>
      <c r="D758" s="85"/>
      <c r="E758" s="87"/>
      <c r="F758" s="87"/>
      <c r="H758" s="85"/>
      <c r="I758" s="88"/>
      <c r="J758" s="88"/>
      <c r="K758" s="89"/>
    </row>
    <row r="759" hidden="1">
      <c r="A759" s="85"/>
      <c r="B759" s="85"/>
      <c r="C759" s="86"/>
      <c r="D759" s="85"/>
      <c r="E759" s="87"/>
      <c r="F759" s="87"/>
      <c r="H759" s="85"/>
      <c r="I759" s="88"/>
      <c r="J759" s="88"/>
      <c r="K759" s="89"/>
    </row>
    <row r="760" hidden="1">
      <c r="A760" s="85"/>
      <c r="B760" s="85"/>
      <c r="C760" s="86"/>
      <c r="D760" s="85"/>
      <c r="E760" s="87"/>
      <c r="F760" s="87"/>
      <c r="H760" s="85"/>
      <c r="I760" s="88"/>
      <c r="J760" s="88"/>
      <c r="K760" s="89"/>
    </row>
    <row r="761" hidden="1">
      <c r="A761" s="85"/>
      <c r="B761" s="85"/>
      <c r="C761" s="86"/>
      <c r="D761" s="85"/>
      <c r="E761" s="87"/>
      <c r="F761" s="87"/>
      <c r="H761" s="85"/>
      <c r="I761" s="88"/>
      <c r="J761" s="88"/>
      <c r="K761" s="89"/>
    </row>
    <row r="762" hidden="1">
      <c r="A762" s="85"/>
      <c r="B762" s="85"/>
      <c r="C762" s="86"/>
      <c r="D762" s="85"/>
      <c r="E762" s="87"/>
      <c r="F762" s="87"/>
      <c r="H762" s="85"/>
      <c r="I762" s="88"/>
      <c r="J762" s="88"/>
      <c r="K762" s="89"/>
    </row>
    <row r="763" hidden="1">
      <c r="A763" s="85"/>
      <c r="B763" s="85"/>
      <c r="C763" s="86"/>
      <c r="D763" s="85"/>
      <c r="E763" s="87"/>
      <c r="F763" s="87"/>
      <c r="H763" s="85"/>
      <c r="I763" s="88"/>
      <c r="J763" s="88"/>
      <c r="K763" s="89"/>
    </row>
    <row r="764" hidden="1">
      <c r="A764" s="85"/>
      <c r="B764" s="85"/>
      <c r="C764" s="86"/>
      <c r="D764" s="85"/>
      <c r="E764" s="87"/>
      <c r="F764" s="87"/>
      <c r="H764" s="85"/>
      <c r="I764" s="88"/>
      <c r="J764" s="88"/>
      <c r="K764" s="89"/>
    </row>
    <row r="765" hidden="1">
      <c r="A765" s="85"/>
      <c r="B765" s="85"/>
      <c r="C765" s="86"/>
      <c r="D765" s="85"/>
      <c r="E765" s="87"/>
      <c r="F765" s="87"/>
      <c r="H765" s="85"/>
      <c r="I765" s="88"/>
      <c r="J765" s="88"/>
      <c r="K765" s="89"/>
    </row>
    <row r="766" hidden="1">
      <c r="A766" s="85"/>
      <c r="B766" s="85"/>
      <c r="C766" s="86"/>
      <c r="D766" s="85"/>
      <c r="E766" s="87"/>
      <c r="F766" s="87"/>
      <c r="H766" s="85"/>
      <c r="I766" s="88"/>
      <c r="J766" s="88"/>
      <c r="K766" s="89"/>
    </row>
    <row r="767" hidden="1">
      <c r="A767" s="85"/>
      <c r="B767" s="85"/>
      <c r="C767" s="86"/>
      <c r="D767" s="85"/>
      <c r="E767" s="87"/>
      <c r="F767" s="87"/>
      <c r="H767" s="85"/>
      <c r="I767" s="88"/>
      <c r="J767" s="88"/>
      <c r="K767" s="89"/>
    </row>
    <row r="768" hidden="1">
      <c r="A768" s="85"/>
      <c r="B768" s="85"/>
      <c r="C768" s="86"/>
      <c r="D768" s="85"/>
      <c r="E768" s="87"/>
      <c r="F768" s="87"/>
      <c r="H768" s="85"/>
      <c r="I768" s="88"/>
      <c r="J768" s="88"/>
      <c r="K768" s="89"/>
    </row>
    <row r="769" hidden="1">
      <c r="A769" s="85"/>
      <c r="B769" s="85"/>
      <c r="C769" s="86"/>
      <c r="D769" s="85"/>
      <c r="E769" s="87"/>
      <c r="F769" s="87"/>
      <c r="H769" s="85"/>
      <c r="I769" s="88"/>
      <c r="J769" s="88"/>
      <c r="K769" s="89"/>
    </row>
    <row r="770" hidden="1">
      <c r="A770" s="85"/>
      <c r="B770" s="85"/>
      <c r="C770" s="86"/>
      <c r="D770" s="85"/>
      <c r="E770" s="87"/>
      <c r="F770" s="87"/>
      <c r="H770" s="85"/>
      <c r="I770" s="88"/>
      <c r="J770" s="88"/>
      <c r="K770" s="89"/>
    </row>
    <row r="771" hidden="1">
      <c r="A771" s="85"/>
      <c r="B771" s="85"/>
      <c r="C771" s="86"/>
      <c r="D771" s="85"/>
      <c r="E771" s="87"/>
      <c r="F771" s="87"/>
      <c r="H771" s="85"/>
      <c r="I771" s="88"/>
      <c r="J771" s="88"/>
      <c r="K771" s="89"/>
    </row>
    <row r="772" hidden="1">
      <c r="A772" s="85"/>
      <c r="B772" s="85"/>
      <c r="C772" s="86"/>
      <c r="D772" s="85"/>
      <c r="E772" s="87"/>
      <c r="F772" s="87"/>
      <c r="H772" s="85"/>
      <c r="I772" s="88"/>
      <c r="J772" s="88"/>
      <c r="K772" s="89"/>
    </row>
    <row r="773" hidden="1">
      <c r="A773" s="85"/>
      <c r="B773" s="85"/>
      <c r="C773" s="86"/>
      <c r="D773" s="85"/>
      <c r="E773" s="87"/>
      <c r="F773" s="87"/>
      <c r="H773" s="85"/>
      <c r="I773" s="88"/>
      <c r="J773" s="88"/>
      <c r="K773" s="89"/>
    </row>
    <row r="774" hidden="1">
      <c r="A774" s="85"/>
      <c r="B774" s="85"/>
      <c r="C774" s="86"/>
      <c r="D774" s="85"/>
      <c r="E774" s="87"/>
      <c r="F774" s="87"/>
      <c r="H774" s="85"/>
      <c r="I774" s="88"/>
      <c r="J774" s="88"/>
      <c r="K774" s="89"/>
    </row>
    <row r="775" hidden="1">
      <c r="A775" s="85"/>
      <c r="B775" s="85"/>
      <c r="C775" s="86"/>
      <c r="D775" s="85"/>
      <c r="E775" s="87"/>
      <c r="F775" s="87"/>
      <c r="H775" s="85"/>
      <c r="I775" s="88"/>
      <c r="J775" s="88"/>
      <c r="K775" s="89"/>
    </row>
    <row r="776" hidden="1">
      <c r="A776" s="85"/>
      <c r="B776" s="85"/>
      <c r="C776" s="86"/>
      <c r="D776" s="85"/>
      <c r="E776" s="87"/>
      <c r="F776" s="87"/>
      <c r="H776" s="85"/>
      <c r="I776" s="88"/>
      <c r="J776" s="88"/>
      <c r="K776" s="89"/>
    </row>
    <row r="777" hidden="1">
      <c r="A777" s="85"/>
      <c r="B777" s="85"/>
      <c r="C777" s="86"/>
      <c r="D777" s="85"/>
      <c r="E777" s="87"/>
      <c r="F777" s="87"/>
      <c r="H777" s="85"/>
      <c r="I777" s="88"/>
      <c r="J777" s="88"/>
      <c r="K777" s="89"/>
    </row>
    <row r="778" hidden="1">
      <c r="A778" s="85"/>
      <c r="B778" s="85"/>
      <c r="C778" s="86"/>
      <c r="D778" s="85"/>
      <c r="E778" s="87"/>
      <c r="F778" s="87"/>
      <c r="H778" s="85"/>
      <c r="I778" s="88"/>
      <c r="J778" s="88"/>
      <c r="K778" s="89"/>
    </row>
    <row r="779" hidden="1">
      <c r="A779" s="85"/>
      <c r="B779" s="85"/>
      <c r="C779" s="86"/>
      <c r="D779" s="85"/>
      <c r="E779" s="87"/>
      <c r="F779" s="87"/>
      <c r="H779" s="85"/>
      <c r="I779" s="88"/>
      <c r="J779" s="88"/>
      <c r="K779" s="89"/>
    </row>
    <row r="780" hidden="1">
      <c r="A780" s="85"/>
      <c r="B780" s="85"/>
      <c r="C780" s="86"/>
      <c r="D780" s="85"/>
      <c r="E780" s="87"/>
      <c r="F780" s="87"/>
      <c r="H780" s="85"/>
      <c r="I780" s="88"/>
      <c r="J780" s="88"/>
      <c r="K780" s="89"/>
    </row>
    <row r="781" hidden="1">
      <c r="A781" s="85"/>
      <c r="B781" s="85"/>
      <c r="C781" s="86"/>
      <c r="D781" s="85"/>
      <c r="E781" s="87"/>
      <c r="F781" s="87"/>
      <c r="H781" s="85"/>
      <c r="I781" s="88"/>
      <c r="J781" s="88"/>
      <c r="K781" s="89"/>
    </row>
    <row r="782" hidden="1">
      <c r="A782" s="85"/>
      <c r="B782" s="85"/>
      <c r="C782" s="86"/>
      <c r="D782" s="85"/>
      <c r="E782" s="87"/>
      <c r="F782" s="87"/>
      <c r="H782" s="85"/>
      <c r="I782" s="88"/>
      <c r="J782" s="88"/>
      <c r="K782" s="89"/>
    </row>
    <row r="783" hidden="1">
      <c r="A783" s="85"/>
      <c r="B783" s="85"/>
      <c r="C783" s="86"/>
      <c r="D783" s="85"/>
      <c r="E783" s="87"/>
      <c r="F783" s="87"/>
      <c r="H783" s="85"/>
      <c r="I783" s="88"/>
      <c r="J783" s="88"/>
      <c r="K783" s="89"/>
    </row>
    <row r="784" hidden="1">
      <c r="A784" s="85"/>
      <c r="B784" s="85"/>
      <c r="C784" s="86"/>
      <c r="D784" s="85"/>
      <c r="E784" s="87"/>
      <c r="F784" s="87"/>
      <c r="H784" s="85"/>
      <c r="I784" s="88"/>
      <c r="J784" s="88"/>
      <c r="K784" s="89"/>
    </row>
    <row r="785" hidden="1">
      <c r="A785" s="85"/>
      <c r="B785" s="85"/>
      <c r="C785" s="86"/>
      <c r="D785" s="85"/>
      <c r="E785" s="87"/>
      <c r="F785" s="87"/>
      <c r="H785" s="85"/>
      <c r="I785" s="88"/>
      <c r="J785" s="88"/>
      <c r="K785" s="89"/>
    </row>
    <row r="786" hidden="1">
      <c r="A786" s="85"/>
      <c r="B786" s="85"/>
      <c r="C786" s="86"/>
      <c r="D786" s="85"/>
      <c r="E786" s="87"/>
      <c r="F786" s="87"/>
      <c r="H786" s="85"/>
      <c r="I786" s="88"/>
      <c r="J786" s="88"/>
      <c r="K786" s="89"/>
    </row>
    <row r="787" hidden="1">
      <c r="A787" s="85"/>
      <c r="B787" s="85"/>
      <c r="C787" s="86"/>
      <c r="D787" s="85"/>
      <c r="E787" s="87"/>
      <c r="F787" s="87"/>
      <c r="H787" s="85"/>
      <c r="I787" s="88"/>
      <c r="J787" s="88"/>
      <c r="K787" s="89"/>
    </row>
    <row r="788" hidden="1">
      <c r="A788" s="85"/>
      <c r="B788" s="85"/>
      <c r="C788" s="86"/>
      <c r="D788" s="85"/>
      <c r="E788" s="87"/>
      <c r="F788" s="87"/>
      <c r="H788" s="85"/>
      <c r="I788" s="88"/>
      <c r="J788" s="88"/>
      <c r="K788" s="89"/>
    </row>
    <row r="789" hidden="1">
      <c r="A789" s="85"/>
      <c r="B789" s="85"/>
      <c r="C789" s="86"/>
      <c r="D789" s="85"/>
      <c r="E789" s="87"/>
      <c r="F789" s="87"/>
      <c r="H789" s="85"/>
      <c r="I789" s="88"/>
      <c r="J789" s="88"/>
      <c r="K789" s="89"/>
    </row>
    <row r="790" hidden="1">
      <c r="A790" s="85"/>
      <c r="B790" s="85"/>
      <c r="C790" s="86"/>
      <c r="D790" s="85"/>
      <c r="E790" s="87"/>
      <c r="F790" s="87"/>
      <c r="H790" s="85"/>
      <c r="I790" s="88"/>
      <c r="J790" s="88"/>
      <c r="K790" s="89"/>
    </row>
    <row r="791" hidden="1">
      <c r="A791" s="85"/>
      <c r="B791" s="85"/>
      <c r="C791" s="86"/>
      <c r="D791" s="85"/>
      <c r="E791" s="87"/>
      <c r="F791" s="87"/>
      <c r="H791" s="85"/>
      <c r="I791" s="88"/>
      <c r="J791" s="88"/>
      <c r="K791" s="89"/>
    </row>
    <row r="792" hidden="1">
      <c r="A792" s="85"/>
      <c r="B792" s="85"/>
      <c r="C792" s="86"/>
      <c r="D792" s="85"/>
      <c r="E792" s="87"/>
      <c r="F792" s="87"/>
      <c r="H792" s="85"/>
      <c r="I792" s="88"/>
      <c r="J792" s="88"/>
      <c r="K792" s="89"/>
    </row>
    <row r="793" hidden="1">
      <c r="A793" s="85"/>
      <c r="B793" s="85"/>
      <c r="C793" s="86"/>
      <c r="D793" s="85"/>
      <c r="E793" s="87"/>
      <c r="F793" s="87"/>
      <c r="H793" s="85"/>
      <c r="I793" s="88"/>
      <c r="J793" s="88"/>
      <c r="K793" s="89"/>
    </row>
    <row r="794" hidden="1">
      <c r="A794" s="85"/>
      <c r="B794" s="85"/>
      <c r="C794" s="86"/>
      <c r="D794" s="85"/>
      <c r="E794" s="87"/>
      <c r="F794" s="87"/>
      <c r="H794" s="85"/>
      <c r="I794" s="88"/>
      <c r="J794" s="88"/>
      <c r="K794" s="89"/>
    </row>
    <row r="795" hidden="1">
      <c r="A795" s="85"/>
      <c r="B795" s="85"/>
      <c r="C795" s="86"/>
      <c r="D795" s="85"/>
      <c r="E795" s="87"/>
      <c r="F795" s="87"/>
      <c r="H795" s="85"/>
      <c r="I795" s="88"/>
      <c r="J795" s="88"/>
      <c r="K795" s="89"/>
    </row>
    <row r="796" hidden="1">
      <c r="A796" s="85"/>
      <c r="B796" s="85"/>
      <c r="C796" s="86"/>
      <c r="D796" s="85"/>
      <c r="E796" s="87"/>
      <c r="F796" s="87"/>
      <c r="H796" s="85"/>
      <c r="I796" s="88"/>
      <c r="J796" s="88"/>
      <c r="K796" s="89"/>
    </row>
    <row r="797" hidden="1">
      <c r="A797" s="85"/>
      <c r="B797" s="85"/>
      <c r="C797" s="86"/>
      <c r="D797" s="85"/>
      <c r="E797" s="87"/>
      <c r="F797" s="87"/>
      <c r="H797" s="85"/>
      <c r="I797" s="88"/>
      <c r="J797" s="88"/>
      <c r="K797" s="89"/>
    </row>
    <row r="798" hidden="1">
      <c r="A798" s="85"/>
      <c r="B798" s="85"/>
      <c r="C798" s="86"/>
      <c r="D798" s="85"/>
      <c r="E798" s="87"/>
      <c r="F798" s="87"/>
      <c r="H798" s="85"/>
      <c r="I798" s="88"/>
      <c r="J798" s="88"/>
      <c r="K798" s="89"/>
    </row>
    <row r="799" hidden="1">
      <c r="A799" s="85"/>
      <c r="B799" s="85"/>
      <c r="C799" s="86"/>
      <c r="D799" s="85"/>
      <c r="E799" s="87"/>
      <c r="F799" s="87"/>
      <c r="H799" s="85"/>
      <c r="I799" s="88"/>
      <c r="J799" s="88"/>
      <c r="K799" s="89"/>
    </row>
    <row r="800" hidden="1">
      <c r="A800" s="85"/>
      <c r="B800" s="85"/>
      <c r="C800" s="86"/>
      <c r="D800" s="85"/>
      <c r="E800" s="87"/>
      <c r="F800" s="87"/>
      <c r="H800" s="85"/>
      <c r="I800" s="88"/>
      <c r="J800" s="88"/>
      <c r="K800" s="89"/>
    </row>
    <row r="801" hidden="1">
      <c r="A801" s="85"/>
      <c r="B801" s="85"/>
      <c r="C801" s="86"/>
      <c r="D801" s="85"/>
      <c r="E801" s="87"/>
      <c r="F801" s="87"/>
      <c r="H801" s="85"/>
      <c r="I801" s="88"/>
      <c r="J801" s="88"/>
      <c r="K801" s="89"/>
    </row>
    <row r="802" hidden="1">
      <c r="A802" s="85"/>
      <c r="B802" s="85"/>
      <c r="C802" s="86"/>
      <c r="D802" s="85"/>
      <c r="E802" s="87"/>
      <c r="F802" s="87"/>
      <c r="H802" s="85"/>
      <c r="I802" s="88"/>
      <c r="J802" s="88"/>
      <c r="K802" s="89"/>
    </row>
    <row r="803" hidden="1">
      <c r="A803" s="85"/>
      <c r="B803" s="85"/>
      <c r="C803" s="86"/>
      <c r="D803" s="85"/>
      <c r="E803" s="87"/>
      <c r="F803" s="87"/>
      <c r="H803" s="85"/>
      <c r="I803" s="88"/>
      <c r="J803" s="88"/>
      <c r="K803" s="89"/>
    </row>
    <row r="804" hidden="1">
      <c r="A804" s="85"/>
      <c r="B804" s="85"/>
      <c r="C804" s="86"/>
      <c r="D804" s="85"/>
      <c r="E804" s="87"/>
      <c r="F804" s="87"/>
      <c r="H804" s="85"/>
      <c r="I804" s="88"/>
      <c r="J804" s="88"/>
      <c r="K804" s="89"/>
    </row>
    <row r="805" hidden="1">
      <c r="A805" s="85"/>
      <c r="B805" s="85"/>
      <c r="C805" s="86"/>
      <c r="D805" s="85"/>
      <c r="E805" s="87"/>
      <c r="F805" s="87"/>
      <c r="H805" s="85"/>
      <c r="I805" s="88"/>
      <c r="J805" s="88"/>
      <c r="K805" s="89"/>
    </row>
    <row r="806" hidden="1">
      <c r="A806" s="85"/>
      <c r="B806" s="85"/>
      <c r="C806" s="86"/>
      <c r="D806" s="85"/>
      <c r="E806" s="87"/>
      <c r="F806" s="87"/>
      <c r="H806" s="85"/>
      <c r="I806" s="88"/>
      <c r="J806" s="88"/>
      <c r="K806" s="89"/>
    </row>
    <row r="807" hidden="1">
      <c r="A807" s="85"/>
      <c r="B807" s="85"/>
      <c r="C807" s="86"/>
      <c r="D807" s="85"/>
      <c r="E807" s="87"/>
      <c r="F807" s="87"/>
      <c r="H807" s="85"/>
      <c r="I807" s="88"/>
      <c r="J807" s="88"/>
      <c r="K807" s="89"/>
    </row>
    <row r="808" hidden="1">
      <c r="A808" s="85"/>
      <c r="B808" s="85"/>
      <c r="C808" s="86"/>
      <c r="D808" s="85"/>
      <c r="E808" s="87"/>
      <c r="F808" s="87"/>
      <c r="H808" s="85"/>
      <c r="I808" s="88"/>
      <c r="J808" s="88"/>
      <c r="K808" s="89"/>
    </row>
    <row r="809" hidden="1">
      <c r="A809" s="85"/>
      <c r="B809" s="85"/>
      <c r="C809" s="86"/>
      <c r="D809" s="85"/>
      <c r="E809" s="87"/>
      <c r="F809" s="87"/>
      <c r="H809" s="85"/>
      <c r="I809" s="88"/>
      <c r="J809" s="88"/>
      <c r="K809" s="89"/>
    </row>
    <row r="810" hidden="1">
      <c r="A810" s="85"/>
      <c r="B810" s="85"/>
      <c r="C810" s="86"/>
      <c r="D810" s="85"/>
      <c r="E810" s="87"/>
      <c r="F810" s="87"/>
      <c r="H810" s="85"/>
      <c r="I810" s="88"/>
      <c r="J810" s="88"/>
      <c r="K810" s="89"/>
    </row>
    <row r="811" hidden="1">
      <c r="A811" s="85"/>
      <c r="B811" s="85"/>
      <c r="C811" s="86"/>
      <c r="D811" s="85"/>
      <c r="E811" s="87"/>
      <c r="F811" s="87"/>
      <c r="H811" s="85"/>
      <c r="I811" s="88"/>
      <c r="J811" s="88"/>
      <c r="K811" s="89"/>
    </row>
    <row r="812" hidden="1">
      <c r="A812" s="85"/>
      <c r="B812" s="85"/>
      <c r="C812" s="86"/>
      <c r="D812" s="85"/>
      <c r="E812" s="87"/>
      <c r="F812" s="87"/>
      <c r="H812" s="85"/>
      <c r="I812" s="88"/>
      <c r="J812" s="88"/>
      <c r="K812" s="89"/>
    </row>
    <row r="813" hidden="1">
      <c r="A813" s="85"/>
      <c r="B813" s="85"/>
      <c r="C813" s="86"/>
      <c r="D813" s="85"/>
      <c r="E813" s="87"/>
      <c r="F813" s="87"/>
      <c r="H813" s="85"/>
      <c r="I813" s="88"/>
      <c r="J813" s="88"/>
      <c r="K813" s="89"/>
    </row>
    <row r="814" hidden="1">
      <c r="A814" s="85"/>
      <c r="B814" s="85"/>
      <c r="C814" s="86"/>
      <c r="D814" s="85"/>
      <c r="E814" s="87"/>
      <c r="F814" s="87"/>
      <c r="H814" s="85"/>
      <c r="I814" s="88"/>
      <c r="J814" s="88"/>
      <c r="K814" s="89"/>
    </row>
    <row r="815" hidden="1">
      <c r="A815" s="85"/>
      <c r="B815" s="85"/>
      <c r="C815" s="86"/>
      <c r="D815" s="85"/>
      <c r="E815" s="87"/>
      <c r="F815" s="87"/>
      <c r="H815" s="85"/>
      <c r="I815" s="88"/>
      <c r="J815" s="88"/>
      <c r="K815" s="89"/>
    </row>
    <row r="816" hidden="1">
      <c r="A816" s="85"/>
      <c r="B816" s="85"/>
      <c r="C816" s="86"/>
      <c r="D816" s="85"/>
      <c r="E816" s="87"/>
      <c r="F816" s="87"/>
      <c r="H816" s="85"/>
      <c r="I816" s="88"/>
      <c r="J816" s="88"/>
      <c r="K816" s="89"/>
    </row>
    <row r="817" hidden="1">
      <c r="A817" s="85"/>
      <c r="B817" s="85"/>
      <c r="C817" s="86"/>
      <c r="D817" s="85"/>
      <c r="E817" s="87"/>
      <c r="F817" s="87"/>
      <c r="H817" s="85"/>
      <c r="I817" s="88"/>
      <c r="J817" s="88"/>
      <c r="K817" s="89"/>
    </row>
    <row r="818" hidden="1">
      <c r="A818" s="85"/>
      <c r="B818" s="85"/>
      <c r="C818" s="86"/>
      <c r="D818" s="85"/>
      <c r="E818" s="87"/>
      <c r="F818" s="87"/>
      <c r="H818" s="85"/>
      <c r="I818" s="88"/>
      <c r="J818" s="88"/>
      <c r="K818" s="89"/>
    </row>
    <row r="819" hidden="1">
      <c r="A819" s="85"/>
      <c r="B819" s="85"/>
      <c r="C819" s="86"/>
      <c r="D819" s="85"/>
      <c r="E819" s="87"/>
      <c r="F819" s="87"/>
      <c r="H819" s="85"/>
      <c r="I819" s="88"/>
      <c r="J819" s="88"/>
      <c r="K819" s="89"/>
    </row>
    <row r="820" hidden="1">
      <c r="A820" s="85"/>
      <c r="B820" s="85"/>
      <c r="C820" s="86"/>
      <c r="D820" s="85"/>
      <c r="E820" s="87"/>
      <c r="F820" s="87"/>
      <c r="H820" s="85"/>
      <c r="I820" s="88"/>
      <c r="J820" s="88"/>
      <c r="K820" s="89"/>
    </row>
    <row r="821" hidden="1">
      <c r="A821" s="85"/>
      <c r="B821" s="85"/>
      <c r="C821" s="86"/>
      <c r="D821" s="85"/>
      <c r="E821" s="87"/>
      <c r="F821" s="87"/>
      <c r="H821" s="85"/>
      <c r="I821" s="88"/>
      <c r="J821" s="88"/>
      <c r="K821" s="89"/>
    </row>
    <row r="822" hidden="1">
      <c r="A822" s="85"/>
      <c r="B822" s="85"/>
      <c r="C822" s="86"/>
      <c r="D822" s="85"/>
      <c r="E822" s="87"/>
      <c r="F822" s="87"/>
      <c r="H822" s="85"/>
      <c r="I822" s="88"/>
      <c r="J822" s="88"/>
      <c r="K822" s="89"/>
    </row>
    <row r="823" hidden="1">
      <c r="A823" s="85"/>
      <c r="B823" s="85"/>
      <c r="C823" s="86"/>
      <c r="D823" s="85"/>
      <c r="E823" s="87"/>
      <c r="F823" s="87"/>
      <c r="H823" s="85"/>
      <c r="I823" s="88"/>
      <c r="J823" s="88"/>
      <c r="K823" s="89"/>
    </row>
    <row r="824" hidden="1">
      <c r="A824" s="85"/>
      <c r="B824" s="85"/>
      <c r="C824" s="86"/>
      <c r="D824" s="85"/>
      <c r="E824" s="87"/>
      <c r="F824" s="87"/>
      <c r="H824" s="85"/>
      <c r="I824" s="88"/>
      <c r="J824" s="88"/>
      <c r="K824" s="89"/>
    </row>
    <row r="825" hidden="1">
      <c r="A825" s="85"/>
      <c r="B825" s="85"/>
      <c r="C825" s="86"/>
      <c r="D825" s="85"/>
      <c r="E825" s="87"/>
      <c r="F825" s="87"/>
      <c r="H825" s="85"/>
      <c r="I825" s="88"/>
      <c r="J825" s="88"/>
      <c r="K825" s="89"/>
    </row>
    <row r="826" hidden="1">
      <c r="A826" s="85"/>
      <c r="B826" s="85"/>
      <c r="C826" s="86"/>
      <c r="D826" s="85"/>
      <c r="E826" s="87"/>
      <c r="F826" s="87"/>
      <c r="H826" s="85"/>
      <c r="I826" s="88"/>
      <c r="J826" s="88"/>
      <c r="K826" s="89"/>
    </row>
    <row r="827" hidden="1">
      <c r="A827" s="85"/>
      <c r="B827" s="85"/>
      <c r="C827" s="86"/>
      <c r="D827" s="85"/>
      <c r="E827" s="87"/>
      <c r="F827" s="87"/>
      <c r="H827" s="85"/>
      <c r="I827" s="88"/>
      <c r="J827" s="88"/>
      <c r="K827" s="89"/>
    </row>
    <row r="828" hidden="1">
      <c r="A828" s="85"/>
      <c r="B828" s="85"/>
      <c r="C828" s="86"/>
      <c r="D828" s="85"/>
      <c r="E828" s="87"/>
      <c r="F828" s="87"/>
      <c r="H828" s="85"/>
      <c r="I828" s="88"/>
      <c r="J828" s="88"/>
      <c r="K828" s="89"/>
    </row>
    <row r="829" hidden="1">
      <c r="A829" s="85"/>
      <c r="B829" s="85"/>
      <c r="C829" s="86"/>
      <c r="D829" s="85"/>
      <c r="E829" s="87"/>
      <c r="F829" s="87"/>
      <c r="H829" s="85"/>
      <c r="I829" s="88"/>
      <c r="J829" s="88"/>
      <c r="K829" s="89"/>
    </row>
    <row r="830" hidden="1">
      <c r="A830" s="85"/>
      <c r="B830" s="85"/>
      <c r="C830" s="86"/>
      <c r="D830" s="85"/>
      <c r="E830" s="87"/>
      <c r="F830" s="87"/>
      <c r="H830" s="85"/>
      <c r="I830" s="88"/>
      <c r="J830" s="88"/>
      <c r="K830" s="89"/>
    </row>
    <row r="831" hidden="1">
      <c r="A831" s="85"/>
      <c r="B831" s="85"/>
      <c r="C831" s="86"/>
      <c r="D831" s="85"/>
      <c r="E831" s="87"/>
      <c r="F831" s="87"/>
      <c r="H831" s="85"/>
      <c r="I831" s="88"/>
      <c r="J831" s="88"/>
      <c r="K831" s="89"/>
    </row>
    <row r="832" hidden="1">
      <c r="A832" s="85"/>
      <c r="B832" s="85"/>
      <c r="C832" s="86"/>
      <c r="D832" s="85"/>
      <c r="E832" s="87"/>
      <c r="F832" s="87"/>
      <c r="H832" s="85"/>
      <c r="I832" s="88"/>
      <c r="J832" s="88"/>
      <c r="K832" s="89"/>
    </row>
    <row r="833" hidden="1">
      <c r="A833" s="85"/>
      <c r="B833" s="85"/>
      <c r="C833" s="86"/>
      <c r="D833" s="85"/>
      <c r="E833" s="87"/>
      <c r="F833" s="87"/>
      <c r="H833" s="85"/>
      <c r="I833" s="88"/>
      <c r="J833" s="88"/>
      <c r="K833" s="89"/>
    </row>
    <row r="834" hidden="1">
      <c r="A834" s="85"/>
      <c r="B834" s="85"/>
      <c r="C834" s="86"/>
      <c r="D834" s="85"/>
      <c r="E834" s="87"/>
      <c r="F834" s="87"/>
      <c r="H834" s="85"/>
      <c r="I834" s="88"/>
      <c r="J834" s="88"/>
      <c r="K834" s="89"/>
    </row>
    <row r="835" hidden="1">
      <c r="A835" s="85"/>
      <c r="B835" s="85"/>
      <c r="C835" s="86"/>
      <c r="D835" s="85"/>
      <c r="E835" s="87"/>
      <c r="F835" s="87"/>
      <c r="H835" s="85"/>
      <c r="I835" s="88"/>
      <c r="J835" s="88"/>
      <c r="K835" s="89"/>
    </row>
    <row r="836" hidden="1">
      <c r="A836" s="85"/>
      <c r="B836" s="85"/>
      <c r="C836" s="86"/>
      <c r="D836" s="85"/>
      <c r="E836" s="87"/>
      <c r="F836" s="87"/>
      <c r="H836" s="85"/>
      <c r="I836" s="88"/>
      <c r="J836" s="88"/>
      <c r="K836" s="89"/>
    </row>
    <row r="837" hidden="1">
      <c r="A837" s="85"/>
      <c r="B837" s="85"/>
      <c r="C837" s="86"/>
      <c r="D837" s="85"/>
      <c r="E837" s="87"/>
      <c r="F837" s="87"/>
      <c r="H837" s="85"/>
      <c r="I837" s="88"/>
      <c r="J837" s="88"/>
      <c r="K837" s="89"/>
    </row>
    <row r="838" hidden="1">
      <c r="A838" s="85"/>
      <c r="B838" s="85"/>
      <c r="C838" s="86"/>
      <c r="D838" s="85"/>
      <c r="E838" s="87"/>
      <c r="F838" s="87"/>
      <c r="H838" s="85"/>
      <c r="I838" s="88"/>
      <c r="J838" s="88"/>
      <c r="K838" s="89"/>
    </row>
    <row r="839" hidden="1">
      <c r="A839" s="85"/>
      <c r="B839" s="85"/>
      <c r="C839" s="86"/>
      <c r="D839" s="85"/>
      <c r="E839" s="87"/>
      <c r="F839" s="87"/>
      <c r="H839" s="85"/>
      <c r="I839" s="88"/>
      <c r="J839" s="88"/>
      <c r="K839" s="89"/>
    </row>
    <row r="840" hidden="1">
      <c r="A840" s="85"/>
      <c r="B840" s="85"/>
      <c r="C840" s="86"/>
      <c r="D840" s="85"/>
      <c r="E840" s="87"/>
      <c r="F840" s="87"/>
      <c r="H840" s="85"/>
      <c r="I840" s="88"/>
      <c r="J840" s="88"/>
      <c r="K840" s="89"/>
    </row>
    <row r="841" hidden="1">
      <c r="A841" s="85"/>
      <c r="B841" s="85"/>
      <c r="C841" s="86"/>
      <c r="D841" s="85"/>
      <c r="E841" s="87"/>
      <c r="F841" s="87"/>
      <c r="H841" s="85"/>
      <c r="I841" s="88"/>
      <c r="J841" s="88"/>
      <c r="K841" s="89"/>
    </row>
    <row r="842" hidden="1">
      <c r="A842" s="85"/>
      <c r="B842" s="85"/>
      <c r="C842" s="86"/>
      <c r="D842" s="85"/>
      <c r="E842" s="87"/>
      <c r="F842" s="87"/>
      <c r="H842" s="85"/>
      <c r="I842" s="88"/>
      <c r="J842" s="88"/>
      <c r="K842" s="89"/>
    </row>
    <row r="843" hidden="1">
      <c r="A843" s="85"/>
      <c r="B843" s="85"/>
      <c r="C843" s="86"/>
      <c r="D843" s="85"/>
      <c r="E843" s="87"/>
      <c r="F843" s="87"/>
      <c r="H843" s="85"/>
      <c r="I843" s="88"/>
      <c r="J843" s="88"/>
      <c r="K843" s="89"/>
    </row>
    <row r="844" hidden="1">
      <c r="A844" s="85"/>
      <c r="B844" s="85"/>
      <c r="C844" s="86"/>
      <c r="D844" s="85"/>
      <c r="E844" s="87"/>
      <c r="F844" s="87"/>
      <c r="H844" s="85"/>
      <c r="I844" s="88"/>
      <c r="J844" s="88"/>
      <c r="K844" s="89"/>
    </row>
    <row r="845" hidden="1">
      <c r="A845" s="85"/>
      <c r="B845" s="85"/>
      <c r="C845" s="86"/>
      <c r="D845" s="85"/>
      <c r="E845" s="87"/>
      <c r="F845" s="87"/>
      <c r="H845" s="85"/>
      <c r="I845" s="88"/>
      <c r="J845" s="88"/>
      <c r="K845" s="89"/>
    </row>
    <row r="846" hidden="1">
      <c r="A846" s="85"/>
      <c r="B846" s="85"/>
      <c r="C846" s="86"/>
      <c r="D846" s="85"/>
      <c r="E846" s="87"/>
      <c r="F846" s="87"/>
      <c r="H846" s="85"/>
      <c r="I846" s="88"/>
      <c r="J846" s="88"/>
      <c r="K846" s="89"/>
    </row>
    <row r="847" hidden="1">
      <c r="A847" s="85"/>
      <c r="B847" s="85"/>
      <c r="C847" s="86"/>
      <c r="D847" s="85"/>
      <c r="E847" s="87"/>
      <c r="F847" s="87"/>
      <c r="H847" s="85"/>
      <c r="I847" s="88"/>
      <c r="J847" s="88"/>
      <c r="K847" s="89"/>
    </row>
    <row r="848" hidden="1">
      <c r="A848" s="85"/>
      <c r="B848" s="85"/>
      <c r="C848" s="86"/>
      <c r="D848" s="85"/>
      <c r="E848" s="87"/>
      <c r="F848" s="87"/>
      <c r="H848" s="85"/>
      <c r="I848" s="88"/>
      <c r="J848" s="88"/>
      <c r="K848" s="89"/>
    </row>
    <row r="849" hidden="1">
      <c r="A849" s="85"/>
      <c r="B849" s="85"/>
      <c r="C849" s="86"/>
      <c r="D849" s="85"/>
      <c r="E849" s="87"/>
      <c r="F849" s="87"/>
      <c r="H849" s="85"/>
      <c r="I849" s="88"/>
      <c r="J849" s="88"/>
      <c r="K849" s="89"/>
    </row>
    <row r="850" hidden="1">
      <c r="A850" s="85"/>
      <c r="B850" s="85"/>
      <c r="C850" s="86"/>
      <c r="D850" s="85"/>
      <c r="E850" s="87"/>
      <c r="F850" s="87"/>
      <c r="H850" s="85"/>
      <c r="I850" s="88"/>
      <c r="J850" s="88"/>
      <c r="K850" s="89"/>
    </row>
    <row r="851" hidden="1">
      <c r="A851" s="85"/>
      <c r="B851" s="85"/>
      <c r="C851" s="86"/>
      <c r="D851" s="85"/>
      <c r="E851" s="87"/>
      <c r="F851" s="87"/>
      <c r="H851" s="85"/>
      <c r="I851" s="88"/>
      <c r="J851" s="88"/>
      <c r="K851" s="89"/>
    </row>
    <row r="852" hidden="1">
      <c r="A852" s="85"/>
      <c r="B852" s="85"/>
      <c r="C852" s="86"/>
      <c r="D852" s="85"/>
      <c r="E852" s="87"/>
      <c r="F852" s="87"/>
      <c r="H852" s="85"/>
      <c r="I852" s="88"/>
      <c r="J852" s="88"/>
      <c r="K852" s="89"/>
    </row>
    <row r="853" hidden="1">
      <c r="A853" s="85"/>
      <c r="B853" s="85"/>
      <c r="C853" s="86"/>
      <c r="D853" s="85"/>
      <c r="E853" s="87"/>
      <c r="F853" s="87"/>
      <c r="H853" s="85"/>
      <c r="I853" s="88"/>
      <c r="J853" s="88"/>
      <c r="K853" s="89"/>
    </row>
    <row r="854" hidden="1">
      <c r="A854" s="85"/>
      <c r="B854" s="85"/>
      <c r="C854" s="86"/>
      <c r="D854" s="85"/>
      <c r="E854" s="87"/>
      <c r="F854" s="87"/>
      <c r="H854" s="85"/>
      <c r="I854" s="88"/>
      <c r="J854" s="88"/>
      <c r="K854" s="89"/>
    </row>
    <row r="855" hidden="1">
      <c r="A855" s="85"/>
      <c r="B855" s="85"/>
      <c r="C855" s="86"/>
      <c r="D855" s="85"/>
      <c r="E855" s="87"/>
      <c r="F855" s="87"/>
      <c r="H855" s="85"/>
      <c r="I855" s="88"/>
      <c r="J855" s="88"/>
      <c r="K855" s="89"/>
    </row>
    <row r="856" hidden="1">
      <c r="A856" s="85"/>
      <c r="B856" s="85"/>
      <c r="C856" s="86"/>
      <c r="D856" s="85"/>
      <c r="E856" s="87"/>
      <c r="F856" s="87"/>
      <c r="H856" s="85"/>
      <c r="I856" s="88"/>
      <c r="J856" s="88"/>
      <c r="K856" s="89"/>
    </row>
    <row r="857" hidden="1">
      <c r="A857" s="85"/>
      <c r="B857" s="85"/>
      <c r="C857" s="86"/>
      <c r="D857" s="85"/>
      <c r="E857" s="87"/>
      <c r="F857" s="87"/>
      <c r="H857" s="85"/>
      <c r="I857" s="88"/>
      <c r="J857" s="88"/>
      <c r="K857" s="89"/>
    </row>
    <row r="858" hidden="1">
      <c r="A858" s="85"/>
      <c r="B858" s="85"/>
      <c r="C858" s="86"/>
      <c r="D858" s="85"/>
      <c r="E858" s="87"/>
      <c r="F858" s="87"/>
      <c r="H858" s="85"/>
      <c r="I858" s="88"/>
      <c r="J858" s="88"/>
      <c r="K858" s="89"/>
    </row>
    <row r="859" hidden="1">
      <c r="A859" s="85"/>
      <c r="B859" s="85"/>
      <c r="C859" s="86"/>
      <c r="D859" s="85"/>
      <c r="E859" s="87"/>
      <c r="F859" s="87"/>
      <c r="H859" s="85"/>
      <c r="I859" s="88"/>
      <c r="J859" s="88"/>
      <c r="K859" s="89"/>
    </row>
    <row r="860" hidden="1">
      <c r="A860" s="85"/>
      <c r="B860" s="85"/>
      <c r="C860" s="86"/>
      <c r="D860" s="85"/>
      <c r="E860" s="87"/>
      <c r="F860" s="87"/>
      <c r="H860" s="85"/>
      <c r="I860" s="88"/>
      <c r="J860" s="88"/>
      <c r="K860" s="89"/>
    </row>
    <row r="861" hidden="1">
      <c r="A861" s="85"/>
      <c r="B861" s="85"/>
      <c r="C861" s="86"/>
      <c r="D861" s="85"/>
      <c r="E861" s="87"/>
      <c r="F861" s="87"/>
      <c r="H861" s="85"/>
      <c r="I861" s="88"/>
      <c r="J861" s="88"/>
      <c r="K861" s="89"/>
    </row>
    <row r="862" hidden="1">
      <c r="A862" s="85"/>
      <c r="B862" s="85"/>
      <c r="C862" s="86"/>
      <c r="D862" s="85"/>
      <c r="E862" s="87"/>
      <c r="F862" s="87"/>
      <c r="H862" s="85"/>
      <c r="I862" s="88"/>
      <c r="J862" s="88"/>
      <c r="K862" s="89"/>
    </row>
    <row r="863" hidden="1">
      <c r="A863" s="85"/>
      <c r="B863" s="85"/>
      <c r="C863" s="86"/>
      <c r="D863" s="85"/>
      <c r="E863" s="87"/>
      <c r="F863" s="87"/>
      <c r="H863" s="85"/>
      <c r="I863" s="88"/>
      <c r="J863" s="88"/>
      <c r="K863" s="89"/>
    </row>
    <row r="864" hidden="1">
      <c r="A864" s="85"/>
      <c r="B864" s="85"/>
      <c r="C864" s="86"/>
      <c r="D864" s="85"/>
      <c r="E864" s="87"/>
      <c r="F864" s="87"/>
      <c r="H864" s="85"/>
      <c r="I864" s="88"/>
      <c r="J864" s="88"/>
      <c r="K864" s="89"/>
    </row>
    <row r="865" hidden="1">
      <c r="A865" s="85"/>
      <c r="B865" s="85"/>
      <c r="C865" s="86"/>
      <c r="D865" s="85"/>
      <c r="E865" s="87"/>
      <c r="F865" s="87"/>
      <c r="H865" s="85"/>
      <c r="I865" s="88"/>
      <c r="J865" s="88"/>
      <c r="K865" s="89"/>
    </row>
    <row r="866" hidden="1">
      <c r="A866" s="85"/>
      <c r="B866" s="85"/>
      <c r="C866" s="86"/>
      <c r="D866" s="85"/>
      <c r="E866" s="87"/>
      <c r="F866" s="87"/>
      <c r="H866" s="85"/>
      <c r="I866" s="88"/>
      <c r="J866" s="88"/>
      <c r="K866" s="89"/>
    </row>
    <row r="867" hidden="1">
      <c r="A867" s="85"/>
      <c r="B867" s="85"/>
      <c r="C867" s="86"/>
      <c r="D867" s="85"/>
      <c r="E867" s="87"/>
      <c r="F867" s="87"/>
      <c r="H867" s="85"/>
      <c r="I867" s="88"/>
      <c r="J867" s="88"/>
      <c r="K867" s="89"/>
    </row>
    <row r="868" hidden="1">
      <c r="A868" s="85"/>
      <c r="B868" s="85"/>
      <c r="C868" s="86"/>
      <c r="D868" s="85"/>
      <c r="E868" s="87"/>
      <c r="F868" s="87"/>
      <c r="H868" s="85"/>
      <c r="I868" s="88"/>
      <c r="J868" s="88"/>
      <c r="K868" s="89"/>
    </row>
    <row r="869" hidden="1">
      <c r="A869" s="85"/>
      <c r="B869" s="85"/>
      <c r="C869" s="86"/>
      <c r="D869" s="85"/>
      <c r="E869" s="87"/>
      <c r="F869" s="87"/>
      <c r="H869" s="85"/>
      <c r="I869" s="88"/>
      <c r="J869" s="88"/>
      <c r="K869" s="89"/>
    </row>
    <row r="870" hidden="1">
      <c r="A870" s="85"/>
      <c r="B870" s="85"/>
      <c r="C870" s="86"/>
      <c r="D870" s="85"/>
      <c r="E870" s="87"/>
      <c r="F870" s="87"/>
      <c r="H870" s="85"/>
      <c r="I870" s="88"/>
      <c r="J870" s="88"/>
      <c r="K870" s="89"/>
    </row>
    <row r="871" hidden="1">
      <c r="A871" s="85"/>
      <c r="B871" s="85"/>
      <c r="C871" s="86"/>
      <c r="D871" s="85"/>
      <c r="E871" s="87"/>
      <c r="F871" s="87"/>
      <c r="H871" s="85"/>
      <c r="I871" s="88"/>
      <c r="J871" s="88"/>
      <c r="K871" s="89"/>
    </row>
    <row r="872" hidden="1">
      <c r="A872" s="85"/>
      <c r="B872" s="85"/>
      <c r="C872" s="86"/>
      <c r="D872" s="85"/>
      <c r="E872" s="87"/>
      <c r="F872" s="87"/>
      <c r="H872" s="85"/>
      <c r="I872" s="88"/>
      <c r="J872" s="88"/>
      <c r="K872" s="89"/>
    </row>
    <row r="873" hidden="1">
      <c r="A873" s="85"/>
      <c r="B873" s="85"/>
      <c r="C873" s="86"/>
      <c r="D873" s="85"/>
      <c r="E873" s="87"/>
      <c r="F873" s="87"/>
      <c r="H873" s="85"/>
      <c r="I873" s="88"/>
      <c r="J873" s="88"/>
      <c r="K873" s="89"/>
    </row>
    <row r="874" hidden="1">
      <c r="A874" s="85"/>
      <c r="B874" s="85"/>
      <c r="C874" s="86"/>
      <c r="D874" s="85"/>
      <c r="E874" s="87"/>
      <c r="F874" s="87"/>
      <c r="H874" s="85"/>
      <c r="I874" s="88"/>
      <c r="J874" s="88"/>
      <c r="K874" s="89"/>
    </row>
    <row r="875" hidden="1">
      <c r="A875" s="85"/>
      <c r="B875" s="85"/>
      <c r="C875" s="86"/>
      <c r="D875" s="85"/>
      <c r="E875" s="87"/>
      <c r="F875" s="87"/>
      <c r="H875" s="85"/>
      <c r="I875" s="88"/>
      <c r="J875" s="88"/>
      <c r="K875" s="89"/>
    </row>
    <row r="876" hidden="1">
      <c r="A876" s="85"/>
      <c r="B876" s="85"/>
      <c r="C876" s="86"/>
      <c r="D876" s="85"/>
      <c r="E876" s="87"/>
      <c r="F876" s="87"/>
      <c r="H876" s="85"/>
      <c r="I876" s="88"/>
      <c r="J876" s="88"/>
      <c r="K876" s="89"/>
    </row>
    <row r="877" hidden="1">
      <c r="A877" s="85"/>
      <c r="B877" s="85"/>
      <c r="C877" s="86"/>
      <c r="D877" s="85"/>
      <c r="E877" s="87"/>
      <c r="F877" s="87"/>
      <c r="H877" s="85"/>
      <c r="I877" s="88"/>
      <c r="J877" s="88"/>
      <c r="K877" s="89"/>
    </row>
    <row r="878" hidden="1">
      <c r="A878" s="85"/>
      <c r="B878" s="85"/>
      <c r="C878" s="86"/>
      <c r="D878" s="85"/>
      <c r="E878" s="87"/>
      <c r="F878" s="87"/>
      <c r="H878" s="85"/>
      <c r="I878" s="88"/>
      <c r="J878" s="88"/>
      <c r="K878" s="89"/>
    </row>
    <row r="879" hidden="1">
      <c r="A879" s="85"/>
      <c r="B879" s="85"/>
      <c r="C879" s="86"/>
      <c r="D879" s="85"/>
      <c r="E879" s="87"/>
      <c r="F879" s="87"/>
      <c r="H879" s="85"/>
      <c r="I879" s="88"/>
      <c r="J879" s="88"/>
      <c r="K879" s="89"/>
    </row>
    <row r="880" hidden="1">
      <c r="A880" s="85"/>
      <c r="B880" s="85"/>
      <c r="C880" s="86"/>
      <c r="D880" s="85"/>
      <c r="E880" s="87"/>
      <c r="F880" s="87"/>
      <c r="H880" s="85"/>
      <c r="I880" s="88"/>
      <c r="J880" s="88"/>
      <c r="K880" s="89"/>
    </row>
    <row r="881" hidden="1">
      <c r="A881" s="85"/>
      <c r="B881" s="85"/>
      <c r="C881" s="86"/>
      <c r="D881" s="85"/>
      <c r="E881" s="87"/>
      <c r="F881" s="87"/>
      <c r="H881" s="85"/>
      <c r="I881" s="88"/>
      <c r="J881" s="88"/>
      <c r="K881" s="89"/>
    </row>
    <row r="882" hidden="1">
      <c r="A882" s="85"/>
      <c r="B882" s="85"/>
      <c r="C882" s="86"/>
      <c r="D882" s="85"/>
      <c r="E882" s="87"/>
      <c r="F882" s="87"/>
      <c r="H882" s="85"/>
      <c r="I882" s="88"/>
      <c r="J882" s="88"/>
      <c r="K882" s="89"/>
    </row>
    <row r="883" hidden="1">
      <c r="A883" s="85"/>
      <c r="B883" s="85"/>
      <c r="C883" s="86"/>
      <c r="D883" s="85"/>
      <c r="E883" s="87"/>
      <c r="F883" s="87"/>
      <c r="H883" s="85"/>
      <c r="I883" s="88"/>
      <c r="J883" s="88"/>
      <c r="K883" s="89"/>
    </row>
    <row r="884" hidden="1">
      <c r="A884" s="85"/>
      <c r="B884" s="85"/>
      <c r="C884" s="86"/>
      <c r="D884" s="85"/>
      <c r="E884" s="87"/>
      <c r="F884" s="87"/>
      <c r="H884" s="85"/>
      <c r="I884" s="88"/>
      <c r="J884" s="88"/>
      <c r="K884" s="89"/>
    </row>
    <row r="885" hidden="1">
      <c r="A885" s="85"/>
      <c r="B885" s="85"/>
      <c r="C885" s="86"/>
      <c r="D885" s="85"/>
      <c r="E885" s="87"/>
      <c r="F885" s="87"/>
      <c r="H885" s="85"/>
      <c r="I885" s="88"/>
      <c r="J885" s="88"/>
      <c r="K885" s="89"/>
    </row>
    <row r="886" hidden="1">
      <c r="A886" s="85"/>
      <c r="B886" s="85"/>
      <c r="C886" s="86"/>
      <c r="D886" s="85"/>
      <c r="E886" s="87"/>
      <c r="F886" s="87"/>
      <c r="H886" s="85"/>
      <c r="I886" s="88"/>
      <c r="J886" s="88"/>
      <c r="K886" s="89"/>
    </row>
    <row r="887" hidden="1">
      <c r="A887" s="85"/>
      <c r="B887" s="85"/>
      <c r="C887" s="86"/>
      <c r="D887" s="85"/>
      <c r="E887" s="87"/>
      <c r="F887" s="87"/>
      <c r="H887" s="85"/>
      <c r="I887" s="88"/>
      <c r="J887" s="88"/>
      <c r="K887" s="89"/>
    </row>
    <row r="888" hidden="1">
      <c r="A888" s="85"/>
      <c r="B888" s="85"/>
      <c r="C888" s="86"/>
      <c r="D888" s="85"/>
      <c r="E888" s="87"/>
      <c r="F888" s="87"/>
      <c r="H888" s="85"/>
      <c r="I888" s="88"/>
      <c r="J888" s="88"/>
      <c r="K888" s="89"/>
    </row>
    <row r="889" hidden="1">
      <c r="A889" s="85"/>
      <c r="B889" s="85"/>
      <c r="C889" s="86"/>
      <c r="D889" s="85"/>
      <c r="E889" s="87"/>
      <c r="F889" s="87"/>
      <c r="H889" s="85"/>
      <c r="I889" s="88"/>
      <c r="J889" s="88"/>
      <c r="K889" s="89"/>
    </row>
    <row r="890" hidden="1">
      <c r="A890" s="85"/>
      <c r="B890" s="85"/>
      <c r="C890" s="86"/>
      <c r="D890" s="85"/>
      <c r="E890" s="87"/>
      <c r="F890" s="87"/>
      <c r="H890" s="85"/>
      <c r="I890" s="88"/>
      <c r="J890" s="88"/>
      <c r="K890" s="89"/>
    </row>
    <row r="891" hidden="1">
      <c r="A891" s="85"/>
      <c r="B891" s="85"/>
      <c r="C891" s="86"/>
      <c r="D891" s="85"/>
      <c r="E891" s="87"/>
      <c r="F891" s="87"/>
      <c r="H891" s="85"/>
      <c r="I891" s="88"/>
      <c r="J891" s="88"/>
      <c r="K891" s="89"/>
    </row>
    <row r="892" hidden="1">
      <c r="A892" s="85"/>
      <c r="B892" s="85"/>
      <c r="C892" s="86"/>
      <c r="D892" s="85"/>
      <c r="E892" s="87"/>
      <c r="F892" s="87"/>
      <c r="H892" s="85"/>
      <c r="I892" s="88"/>
      <c r="J892" s="88"/>
      <c r="K892" s="89"/>
    </row>
    <row r="893" hidden="1">
      <c r="A893" s="85"/>
      <c r="B893" s="85"/>
      <c r="C893" s="86"/>
      <c r="D893" s="85"/>
      <c r="E893" s="87"/>
      <c r="F893" s="87"/>
      <c r="H893" s="85"/>
      <c r="I893" s="88"/>
      <c r="J893" s="88"/>
      <c r="K893" s="89"/>
    </row>
    <row r="894" hidden="1">
      <c r="A894" s="85"/>
      <c r="B894" s="85"/>
      <c r="C894" s="86"/>
      <c r="D894" s="85"/>
      <c r="E894" s="87"/>
      <c r="F894" s="87"/>
      <c r="H894" s="85"/>
      <c r="I894" s="88"/>
      <c r="J894" s="88"/>
      <c r="K894" s="89"/>
    </row>
    <row r="895" hidden="1">
      <c r="A895" s="85"/>
      <c r="B895" s="85"/>
      <c r="C895" s="86"/>
      <c r="D895" s="85"/>
      <c r="E895" s="87"/>
      <c r="F895" s="87"/>
      <c r="H895" s="85"/>
      <c r="I895" s="88"/>
      <c r="J895" s="88"/>
      <c r="K895" s="89"/>
    </row>
    <row r="896" hidden="1">
      <c r="A896" s="85"/>
      <c r="B896" s="85"/>
      <c r="C896" s="86"/>
      <c r="D896" s="85"/>
      <c r="E896" s="87"/>
      <c r="F896" s="87"/>
      <c r="H896" s="85"/>
      <c r="I896" s="88"/>
      <c r="J896" s="88"/>
      <c r="K896" s="89"/>
    </row>
    <row r="897" hidden="1">
      <c r="A897" s="85"/>
      <c r="B897" s="85"/>
      <c r="C897" s="86"/>
      <c r="D897" s="85"/>
      <c r="E897" s="87"/>
      <c r="F897" s="87"/>
      <c r="H897" s="85"/>
      <c r="I897" s="88"/>
      <c r="J897" s="88"/>
      <c r="K897" s="89"/>
    </row>
    <row r="898" hidden="1">
      <c r="A898" s="85"/>
      <c r="B898" s="85"/>
      <c r="C898" s="86"/>
      <c r="D898" s="85"/>
      <c r="E898" s="87"/>
      <c r="F898" s="87"/>
      <c r="H898" s="85"/>
      <c r="I898" s="88"/>
      <c r="J898" s="88"/>
      <c r="K898" s="89"/>
    </row>
    <row r="899" hidden="1">
      <c r="A899" s="85"/>
      <c r="B899" s="85"/>
      <c r="C899" s="86"/>
      <c r="D899" s="85"/>
      <c r="E899" s="87"/>
      <c r="F899" s="87"/>
      <c r="H899" s="85"/>
      <c r="I899" s="88"/>
      <c r="J899" s="88"/>
      <c r="K899" s="89"/>
    </row>
    <row r="900" hidden="1">
      <c r="A900" s="85"/>
      <c r="B900" s="85"/>
      <c r="C900" s="86"/>
      <c r="D900" s="85"/>
      <c r="E900" s="87"/>
      <c r="F900" s="87"/>
      <c r="H900" s="85"/>
      <c r="I900" s="88"/>
      <c r="J900" s="88"/>
      <c r="K900" s="89"/>
    </row>
    <row r="901" hidden="1">
      <c r="A901" s="85"/>
      <c r="B901" s="85"/>
      <c r="C901" s="86"/>
      <c r="D901" s="85"/>
      <c r="E901" s="87"/>
      <c r="F901" s="87"/>
      <c r="H901" s="85"/>
      <c r="I901" s="88"/>
      <c r="J901" s="88"/>
      <c r="K901" s="89"/>
    </row>
    <row r="902" hidden="1">
      <c r="A902" s="85"/>
      <c r="B902" s="85"/>
      <c r="C902" s="86"/>
      <c r="D902" s="85"/>
      <c r="E902" s="87"/>
      <c r="F902" s="87"/>
      <c r="H902" s="85"/>
      <c r="I902" s="88"/>
      <c r="J902" s="88"/>
      <c r="K902" s="89"/>
    </row>
    <row r="903" hidden="1">
      <c r="A903" s="85"/>
      <c r="B903" s="85"/>
      <c r="C903" s="86"/>
      <c r="D903" s="85"/>
      <c r="E903" s="87"/>
      <c r="F903" s="87"/>
      <c r="H903" s="85"/>
      <c r="I903" s="88"/>
      <c r="J903" s="88"/>
      <c r="K903" s="89"/>
    </row>
    <row r="904" hidden="1">
      <c r="A904" s="85"/>
      <c r="B904" s="85"/>
      <c r="C904" s="86"/>
      <c r="D904" s="85"/>
      <c r="E904" s="87"/>
      <c r="F904" s="87"/>
      <c r="H904" s="85"/>
      <c r="I904" s="88"/>
      <c r="J904" s="88"/>
      <c r="K904" s="89"/>
    </row>
    <row r="905" hidden="1">
      <c r="A905" s="85"/>
      <c r="B905" s="85"/>
      <c r="C905" s="86"/>
      <c r="D905" s="85"/>
      <c r="E905" s="87"/>
      <c r="F905" s="87"/>
      <c r="H905" s="85"/>
      <c r="I905" s="88"/>
      <c r="J905" s="88"/>
      <c r="K905" s="89"/>
    </row>
    <row r="906" hidden="1">
      <c r="A906" s="85"/>
      <c r="B906" s="85"/>
      <c r="C906" s="86"/>
      <c r="D906" s="85"/>
      <c r="E906" s="87"/>
      <c r="F906" s="87"/>
      <c r="H906" s="85"/>
      <c r="I906" s="88"/>
      <c r="J906" s="88"/>
      <c r="K906" s="89"/>
    </row>
    <row r="907" hidden="1">
      <c r="A907" s="85"/>
      <c r="B907" s="85"/>
      <c r="C907" s="86"/>
      <c r="D907" s="85"/>
      <c r="E907" s="87"/>
      <c r="F907" s="87"/>
      <c r="H907" s="85"/>
      <c r="I907" s="88"/>
      <c r="J907" s="88"/>
      <c r="K907" s="89"/>
    </row>
    <row r="908" hidden="1">
      <c r="A908" s="85"/>
      <c r="B908" s="85"/>
      <c r="C908" s="86"/>
      <c r="D908" s="85"/>
      <c r="E908" s="87"/>
      <c r="F908" s="87"/>
      <c r="H908" s="85"/>
      <c r="I908" s="88"/>
      <c r="J908" s="88"/>
      <c r="K908" s="89"/>
    </row>
    <row r="909" hidden="1">
      <c r="A909" s="85"/>
      <c r="B909" s="85"/>
      <c r="C909" s="86"/>
      <c r="D909" s="85"/>
      <c r="E909" s="87"/>
      <c r="F909" s="87"/>
      <c r="H909" s="85"/>
      <c r="I909" s="88"/>
      <c r="J909" s="88"/>
      <c r="K909" s="89"/>
    </row>
    <row r="910" hidden="1">
      <c r="A910" s="85"/>
      <c r="B910" s="85"/>
      <c r="C910" s="86"/>
      <c r="D910" s="85"/>
      <c r="E910" s="87"/>
      <c r="F910" s="87"/>
      <c r="H910" s="85"/>
      <c r="I910" s="88"/>
      <c r="J910" s="88"/>
      <c r="K910" s="89"/>
    </row>
    <row r="911" hidden="1">
      <c r="A911" s="85"/>
      <c r="B911" s="85"/>
      <c r="C911" s="86"/>
      <c r="D911" s="85"/>
      <c r="E911" s="87"/>
      <c r="F911" s="87"/>
      <c r="H911" s="85"/>
      <c r="I911" s="88"/>
      <c r="J911" s="88"/>
      <c r="K911" s="89"/>
    </row>
    <row r="912" hidden="1">
      <c r="A912" s="85"/>
      <c r="B912" s="85"/>
      <c r="C912" s="86"/>
      <c r="D912" s="85"/>
      <c r="E912" s="87"/>
      <c r="F912" s="87"/>
      <c r="H912" s="85"/>
      <c r="I912" s="88"/>
      <c r="J912" s="88"/>
      <c r="K912" s="89"/>
    </row>
    <row r="913" hidden="1">
      <c r="A913" s="85"/>
      <c r="B913" s="85"/>
      <c r="C913" s="86"/>
      <c r="D913" s="85"/>
      <c r="E913" s="87"/>
      <c r="F913" s="87"/>
      <c r="H913" s="85"/>
      <c r="I913" s="88"/>
      <c r="J913" s="88"/>
      <c r="K913" s="89"/>
    </row>
    <row r="914" hidden="1">
      <c r="A914" s="85"/>
      <c r="B914" s="85"/>
      <c r="C914" s="86"/>
      <c r="D914" s="85"/>
      <c r="E914" s="87"/>
      <c r="F914" s="87"/>
      <c r="H914" s="85"/>
      <c r="I914" s="88"/>
      <c r="J914" s="88"/>
      <c r="K914" s="89"/>
    </row>
    <row r="915" hidden="1">
      <c r="A915" s="85"/>
      <c r="B915" s="85"/>
      <c r="C915" s="86"/>
      <c r="D915" s="85"/>
      <c r="E915" s="87"/>
      <c r="F915" s="87"/>
      <c r="H915" s="85"/>
      <c r="I915" s="88"/>
      <c r="J915" s="88"/>
      <c r="K915" s="89"/>
    </row>
    <row r="916" hidden="1">
      <c r="A916" s="85"/>
      <c r="B916" s="85"/>
      <c r="C916" s="86"/>
      <c r="D916" s="85"/>
      <c r="E916" s="87"/>
      <c r="F916" s="87"/>
      <c r="H916" s="85"/>
      <c r="I916" s="88"/>
      <c r="J916" s="88"/>
      <c r="K916" s="89"/>
    </row>
    <row r="917" hidden="1">
      <c r="A917" s="85"/>
      <c r="B917" s="85"/>
      <c r="C917" s="86"/>
      <c r="D917" s="85"/>
      <c r="E917" s="87"/>
      <c r="F917" s="87"/>
      <c r="H917" s="85"/>
      <c r="I917" s="88"/>
      <c r="J917" s="88"/>
      <c r="K917" s="89"/>
    </row>
    <row r="918" hidden="1">
      <c r="A918" s="85"/>
      <c r="B918" s="85"/>
      <c r="C918" s="86"/>
      <c r="D918" s="85"/>
      <c r="E918" s="87"/>
      <c r="F918" s="87"/>
      <c r="H918" s="85"/>
      <c r="I918" s="88"/>
      <c r="J918" s="88"/>
      <c r="K918" s="89"/>
    </row>
    <row r="919" hidden="1">
      <c r="A919" s="85"/>
      <c r="B919" s="85"/>
      <c r="C919" s="86"/>
      <c r="D919" s="85"/>
      <c r="E919" s="87"/>
      <c r="F919" s="87"/>
      <c r="H919" s="85"/>
      <c r="I919" s="88"/>
      <c r="J919" s="88"/>
      <c r="K919" s="89"/>
    </row>
    <row r="920" hidden="1">
      <c r="A920" s="85"/>
      <c r="B920" s="85"/>
      <c r="C920" s="86"/>
      <c r="D920" s="85"/>
      <c r="E920" s="87"/>
      <c r="F920" s="87"/>
      <c r="H920" s="85"/>
      <c r="I920" s="88"/>
      <c r="J920" s="88"/>
      <c r="K920" s="89"/>
    </row>
    <row r="921" hidden="1">
      <c r="A921" s="85"/>
      <c r="B921" s="85"/>
      <c r="C921" s="86"/>
      <c r="D921" s="85"/>
      <c r="E921" s="87"/>
      <c r="F921" s="87"/>
      <c r="H921" s="85"/>
      <c r="I921" s="88"/>
      <c r="J921" s="88"/>
      <c r="K921" s="89"/>
    </row>
    <row r="922" hidden="1">
      <c r="A922" s="85"/>
      <c r="B922" s="85"/>
      <c r="C922" s="86"/>
      <c r="D922" s="85"/>
      <c r="E922" s="87"/>
      <c r="F922" s="87"/>
      <c r="H922" s="85"/>
      <c r="I922" s="88"/>
      <c r="J922" s="88"/>
      <c r="K922" s="89"/>
    </row>
    <row r="923" hidden="1">
      <c r="A923" s="85"/>
      <c r="B923" s="85"/>
      <c r="C923" s="86"/>
      <c r="D923" s="85"/>
      <c r="E923" s="87"/>
      <c r="F923" s="87"/>
      <c r="H923" s="85"/>
      <c r="I923" s="88"/>
      <c r="J923" s="88"/>
      <c r="K923" s="89"/>
    </row>
    <row r="924" hidden="1">
      <c r="A924" s="85"/>
      <c r="B924" s="85"/>
      <c r="C924" s="86"/>
      <c r="D924" s="85"/>
      <c r="E924" s="87"/>
      <c r="F924" s="87"/>
      <c r="H924" s="85"/>
      <c r="I924" s="88"/>
      <c r="J924" s="88"/>
      <c r="K924" s="89"/>
    </row>
    <row r="925" hidden="1">
      <c r="A925" s="85"/>
      <c r="B925" s="85"/>
      <c r="C925" s="86"/>
      <c r="D925" s="85"/>
      <c r="E925" s="87"/>
      <c r="F925" s="87"/>
      <c r="H925" s="85"/>
      <c r="I925" s="88"/>
      <c r="J925" s="88"/>
      <c r="K925" s="89"/>
    </row>
    <row r="926" hidden="1">
      <c r="A926" s="85"/>
      <c r="B926" s="85"/>
      <c r="C926" s="86"/>
      <c r="D926" s="85"/>
      <c r="E926" s="87"/>
      <c r="F926" s="87"/>
      <c r="H926" s="85"/>
      <c r="I926" s="88"/>
      <c r="J926" s="88"/>
      <c r="K926" s="89"/>
    </row>
    <row r="927" hidden="1">
      <c r="A927" s="85"/>
      <c r="B927" s="85"/>
      <c r="C927" s="86"/>
      <c r="D927" s="85"/>
      <c r="E927" s="87"/>
      <c r="F927" s="87"/>
      <c r="H927" s="85"/>
      <c r="I927" s="88"/>
      <c r="J927" s="88"/>
      <c r="K927" s="89"/>
    </row>
    <row r="928" hidden="1">
      <c r="A928" s="85"/>
      <c r="B928" s="85"/>
      <c r="C928" s="86"/>
      <c r="D928" s="85"/>
      <c r="E928" s="87"/>
      <c r="F928" s="87"/>
      <c r="H928" s="85"/>
      <c r="I928" s="88"/>
      <c r="J928" s="88"/>
      <c r="K928" s="89"/>
    </row>
    <row r="929" hidden="1">
      <c r="A929" s="85"/>
      <c r="B929" s="85"/>
      <c r="C929" s="86"/>
      <c r="D929" s="85"/>
      <c r="E929" s="87"/>
      <c r="F929" s="87"/>
      <c r="H929" s="85"/>
      <c r="I929" s="88"/>
      <c r="J929" s="88"/>
      <c r="K929" s="89"/>
    </row>
    <row r="930" hidden="1">
      <c r="A930" s="85"/>
      <c r="B930" s="85"/>
      <c r="C930" s="86"/>
      <c r="D930" s="85"/>
      <c r="E930" s="87"/>
      <c r="F930" s="87"/>
      <c r="H930" s="85"/>
      <c r="I930" s="88"/>
      <c r="J930" s="88"/>
      <c r="K930" s="89"/>
    </row>
    <row r="931" hidden="1">
      <c r="A931" s="85"/>
      <c r="B931" s="85"/>
      <c r="C931" s="86"/>
      <c r="D931" s="85"/>
      <c r="E931" s="87"/>
      <c r="F931" s="87"/>
      <c r="H931" s="85"/>
      <c r="I931" s="88"/>
      <c r="J931" s="88"/>
      <c r="K931" s="89"/>
    </row>
    <row r="932" hidden="1">
      <c r="A932" s="85"/>
      <c r="B932" s="85"/>
      <c r="C932" s="86"/>
      <c r="D932" s="85"/>
      <c r="E932" s="87"/>
      <c r="F932" s="87"/>
      <c r="H932" s="85"/>
      <c r="I932" s="88"/>
      <c r="J932" s="88"/>
      <c r="K932" s="89"/>
    </row>
    <row r="933" hidden="1">
      <c r="A933" s="85"/>
      <c r="B933" s="85"/>
      <c r="C933" s="86"/>
      <c r="D933" s="85"/>
      <c r="E933" s="87"/>
      <c r="F933" s="87"/>
      <c r="H933" s="85"/>
      <c r="I933" s="88"/>
      <c r="J933" s="88"/>
      <c r="K933" s="89"/>
    </row>
    <row r="934" hidden="1">
      <c r="A934" s="85"/>
      <c r="B934" s="85"/>
      <c r="C934" s="86"/>
      <c r="D934" s="85"/>
      <c r="E934" s="87"/>
      <c r="F934" s="87"/>
      <c r="H934" s="85"/>
      <c r="I934" s="88"/>
      <c r="J934" s="88"/>
      <c r="K934" s="89"/>
    </row>
    <row r="935" hidden="1">
      <c r="A935" s="85"/>
      <c r="B935" s="85"/>
      <c r="C935" s="86"/>
      <c r="D935" s="85"/>
      <c r="E935" s="87"/>
      <c r="F935" s="87"/>
      <c r="H935" s="85"/>
      <c r="I935" s="88"/>
      <c r="J935" s="88"/>
      <c r="K935" s="89"/>
    </row>
    <row r="936" hidden="1">
      <c r="A936" s="85"/>
      <c r="B936" s="85"/>
      <c r="C936" s="86"/>
      <c r="D936" s="85"/>
      <c r="E936" s="87"/>
      <c r="F936" s="87"/>
      <c r="H936" s="85"/>
      <c r="I936" s="88"/>
      <c r="J936" s="88"/>
      <c r="K936" s="89"/>
    </row>
    <row r="937" hidden="1">
      <c r="A937" s="85"/>
      <c r="B937" s="85"/>
      <c r="C937" s="86"/>
      <c r="D937" s="85"/>
      <c r="E937" s="87"/>
      <c r="F937" s="87"/>
      <c r="H937" s="85"/>
      <c r="I937" s="88"/>
      <c r="J937" s="88"/>
      <c r="K937" s="89"/>
    </row>
    <row r="938" hidden="1">
      <c r="A938" s="85"/>
      <c r="B938" s="85"/>
      <c r="C938" s="86"/>
      <c r="D938" s="85"/>
      <c r="E938" s="87"/>
      <c r="F938" s="87"/>
      <c r="H938" s="85"/>
      <c r="I938" s="88"/>
      <c r="J938" s="88"/>
      <c r="K938" s="89"/>
    </row>
    <row r="939" hidden="1">
      <c r="A939" s="85"/>
      <c r="B939" s="85"/>
      <c r="C939" s="86"/>
      <c r="D939" s="85"/>
      <c r="E939" s="87"/>
      <c r="F939" s="87"/>
      <c r="H939" s="85"/>
      <c r="I939" s="88"/>
      <c r="J939" s="88"/>
      <c r="K939" s="89"/>
    </row>
    <row r="940" hidden="1">
      <c r="A940" s="85"/>
      <c r="B940" s="85"/>
      <c r="C940" s="86"/>
      <c r="D940" s="85"/>
      <c r="E940" s="87"/>
      <c r="F940" s="87"/>
      <c r="H940" s="85"/>
      <c r="I940" s="88"/>
      <c r="J940" s="88"/>
      <c r="K940" s="89"/>
    </row>
    <row r="941" hidden="1">
      <c r="A941" s="85"/>
      <c r="B941" s="85"/>
      <c r="C941" s="86"/>
      <c r="D941" s="85"/>
      <c r="E941" s="87"/>
      <c r="F941" s="87"/>
      <c r="H941" s="85"/>
      <c r="I941" s="88"/>
      <c r="J941" s="88"/>
      <c r="K941" s="89"/>
    </row>
    <row r="942" hidden="1">
      <c r="A942" s="85"/>
      <c r="B942" s="85"/>
      <c r="C942" s="86"/>
      <c r="D942" s="85"/>
      <c r="E942" s="87"/>
      <c r="F942" s="87"/>
      <c r="H942" s="85"/>
      <c r="I942" s="88"/>
      <c r="J942" s="88"/>
      <c r="K942" s="89"/>
    </row>
    <row r="943" hidden="1">
      <c r="A943" s="85"/>
      <c r="B943" s="85"/>
      <c r="C943" s="86"/>
      <c r="D943" s="85"/>
      <c r="E943" s="87"/>
      <c r="F943" s="87"/>
      <c r="H943" s="85"/>
      <c r="I943" s="88"/>
      <c r="J943" s="88"/>
      <c r="K943" s="89"/>
    </row>
    <row r="944" hidden="1">
      <c r="A944" s="85"/>
      <c r="B944" s="85"/>
      <c r="C944" s="86"/>
      <c r="D944" s="85"/>
      <c r="E944" s="87"/>
      <c r="F944" s="87"/>
      <c r="H944" s="85"/>
      <c r="I944" s="88"/>
      <c r="J944" s="88"/>
      <c r="K944" s="89"/>
    </row>
    <row r="945" hidden="1">
      <c r="A945" s="85"/>
      <c r="B945" s="85"/>
      <c r="C945" s="86"/>
      <c r="D945" s="85"/>
      <c r="E945" s="87"/>
      <c r="F945" s="87"/>
      <c r="H945" s="85"/>
      <c r="I945" s="88"/>
      <c r="J945" s="88"/>
      <c r="K945" s="89"/>
    </row>
    <row r="946" hidden="1">
      <c r="A946" s="85"/>
      <c r="B946" s="85"/>
      <c r="C946" s="86"/>
      <c r="D946" s="85"/>
      <c r="E946" s="87"/>
      <c r="F946" s="87"/>
      <c r="H946" s="85"/>
      <c r="I946" s="88"/>
      <c r="J946" s="88"/>
      <c r="K946" s="89"/>
    </row>
    <row r="947" hidden="1">
      <c r="A947" s="85"/>
      <c r="B947" s="85"/>
      <c r="C947" s="86"/>
      <c r="D947" s="85"/>
      <c r="E947" s="87"/>
      <c r="F947" s="87"/>
      <c r="H947" s="85"/>
      <c r="I947" s="88"/>
      <c r="J947" s="88"/>
      <c r="K947" s="89"/>
    </row>
    <row r="948" hidden="1">
      <c r="A948" s="85"/>
      <c r="B948" s="85"/>
      <c r="C948" s="86"/>
      <c r="D948" s="85"/>
      <c r="E948" s="87"/>
      <c r="F948" s="87"/>
      <c r="H948" s="85"/>
      <c r="I948" s="88"/>
      <c r="J948" s="88"/>
      <c r="K948" s="89"/>
    </row>
    <row r="949" hidden="1">
      <c r="A949" s="85"/>
      <c r="B949" s="85"/>
      <c r="C949" s="86"/>
      <c r="D949" s="85"/>
      <c r="E949" s="87"/>
      <c r="F949" s="87"/>
      <c r="H949" s="85"/>
      <c r="I949" s="88"/>
      <c r="J949" s="88"/>
      <c r="K949" s="89"/>
    </row>
    <row r="950" hidden="1">
      <c r="A950" s="85"/>
      <c r="B950" s="85"/>
      <c r="C950" s="86"/>
      <c r="D950" s="85"/>
      <c r="E950" s="87"/>
      <c r="F950" s="87"/>
      <c r="H950" s="85"/>
      <c r="I950" s="88"/>
      <c r="J950" s="88"/>
      <c r="K950" s="89"/>
    </row>
    <row r="951" hidden="1">
      <c r="A951" s="85"/>
      <c r="B951" s="85"/>
      <c r="C951" s="86"/>
      <c r="D951" s="85"/>
      <c r="E951" s="87"/>
      <c r="F951" s="87"/>
      <c r="H951" s="85"/>
      <c r="I951" s="88"/>
      <c r="J951" s="88"/>
      <c r="K951" s="89"/>
    </row>
    <row r="952" hidden="1">
      <c r="A952" s="85"/>
      <c r="B952" s="85"/>
      <c r="C952" s="86"/>
      <c r="D952" s="85"/>
      <c r="E952" s="87"/>
      <c r="F952" s="87"/>
      <c r="H952" s="85"/>
      <c r="I952" s="88"/>
      <c r="J952" s="88"/>
      <c r="K952" s="89"/>
    </row>
    <row r="953" hidden="1">
      <c r="A953" s="85"/>
      <c r="B953" s="85"/>
      <c r="C953" s="86"/>
      <c r="D953" s="85"/>
      <c r="E953" s="87"/>
      <c r="F953" s="87"/>
      <c r="H953" s="85"/>
      <c r="I953" s="88"/>
      <c r="J953" s="88"/>
      <c r="K953" s="89"/>
    </row>
    <row r="954" hidden="1">
      <c r="A954" s="85"/>
      <c r="B954" s="85"/>
      <c r="C954" s="86"/>
      <c r="D954" s="85"/>
      <c r="E954" s="87"/>
      <c r="F954" s="87"/>
      <c r="H954" s="85"/>
      <c r="I954" s="88"/>
      <c r="J954" s="88"/>
      <c r="K954" s="89"/>
    </row>
    <row r="955" hidden="1">
      <c r="A955" s="85"/>
      <c r="B955" s="85"/>
      <c r="C955" s="86"/>
      <c r="D955" s="85"/>
      <c r="E955" s="87"/>
      <c r="F955" s="87"/>
      <c r="H955" s="85"/>
      <c r="I955" s="88"/>
      <c r="J955" s="88"/>
      <c r="K955" s="89"/>
    </row>
    <row r="956" hidden="1">
      <c r="A956" s="85"/>
      <c r="B956" s="85"/>
      <c r="C956" s="86"/>
      <c r="D956" s="85"/>
      <c r="E956" s="87"/>
      <c r="F956" s="87"/>
      <c r="H956" s="85"/>
      <c r="I956" s="88"/>
      <c r="J956" s="88"/>
      <c r="K956" s="89"/>
    </row>
    <row r="957" hidden="1">
      <c r="A957" s="85"/>
      <c r="B957" s="85"/>
      <c r="C957" s="86"/>
      <c r="D957" s="85"/>
      <c r="E957" s="87"/>
      <c r="F957" s="87"/>
      <c r="H957" s="85"/>
      <c r="I957" s="88"/>
      <c r="J957" s="88"/>
      <c r="K957" s="89"/>
    </row>
    <row r="958" hidden="1">
      <c r="A958" s="85"/>
      <c r="B958" s="85"/>
      <c r="C958" s="86"/>
      <c r="D958" s="85"/>
      <c r="E958" s="87"/>
      <c r="F958" s="87"/>
      <c r="H958" s="85"/>
      <c r="I958" s="88"/>
      <c r="J958" s="88"/>
      <c r="K958" s="89"/>
    </row>
    <row r="959" hidden="1">
      <c r="A959" s="85"/>
      <c r="B959" s="85"/>
      <c r="C959" s="86"/>
      <c r="D959" s="85"/>
      <c r="E959" s="87"/>
      <c r="F959" s="87"/>
      <c r="H959" s="85"/>
      <c r="I959" s="88"/>
      <c r="J959" s="88"/>
      <c r="K959" s="89"/>
    </row>
    <row r="960" hidden="1">
      <c r="A960" s="85"/>
      <c r="B960" s="85"/>
      <c r="C960" s="86"/>
      <c r="D960" s="85"/>
      <c r="E960" s="87"/>
      <c r="F960" s="87"/>
      <c r="H960" s="85"/>
      <c r="I960" s="88"/>
      <c r="J960" s="88"/>
      <c r="K960" s="89"/>
    </row>
    <row r="961" hidden="1">
      <c r="A961" s="85"/>
      <c r="B961" s="85"/>
      <c r="C961" s="86"/>
      <c r="D961" s="85"/>
      <c r="E961" s="87"/>
      <c r="F961" s="87"/>
      <c r="H961" s="85"/>
      <c r="I961" s="88"/>
      <c r="J961" s="88"/>
      <c r="K961" s="89"/>
    </row>
    <row r="962" hidden="1">
      <c r="A962" s="85"/>
      <c r="B962" s="85"/>
      <c r="C962" s="86"/>
      <c r="D962" s="85"/>
      <c r="E962" s="87"/>
      <c r="F962" s="87"/>
      <c r="H962" s="85"/>
      <c r="I962" s="88"/>
      <c r="J962" s="88"/>
      <c r="K962" s="89"/>
    </row>
    <row r="963" hidden="1">
      <c r="A963" s="85"/>
      <c r="B963" s="85"/>
      <c r="C963" s="86"/>
      <c r="D963" s="85"/>
      <c r="E963" s="87"/>
      <c r="F963" s="87"/>
      <c r="H963" s="85"/>
      <c r="I963" s="88"/>
      <c r="J963" s="88"/>
      <c r="K963" s="89"/>
    </row>
    <row r="964" hidden="1">
      <c r="A964" s="85"/>
      <c r="B964" s="85"/>
      <c r="C964" s="86"/>
      <c r="D964" s="85"/>
      <c r="E964" s="87"/>
      <c r="F964" s="87"/>
      <c r="H964" s="85"/>
      <c r="I964" s="88"/>
      <c r="J964" s="88"/>
      <c r="K964" s="89"/>
    </row>
    <row r="965" hidden="1">
      <c r="A965" s="85"/>
      <c r="B965" s="85"/>
      <c r="C965" s="86"/>
      <c r="D965" s="85"/>
      <c r="E965" s="87"/>
      <c r="F965" s="87"/>
      <c r="H965" s="85"/>
      <c r="I965" s="88"/>
      <c r="J965" s="88"/>
      <c r="K965" s="89"/>
    </row>
    <row r="966" hidden="1">
      <c r="A966" s="85"/>
      <c r="B966" s="85"/>
      <c r="C966" s="86"/>
      <c r="D966" s="85"/>
      <c r="E966" s="87"/>
      <c r="F966" s="87"/>
      <c r="H966" s="85"/>
      <c r="I966" s="88"/>
      <c r="J966" s="88"/>
      <c r="K966" s="89"/>
    </row>
    <row r="967" hidden="1">
      <c r="A967" s="85"/>
      <c r="B967" s="85"/>
      <c r="C967" s="86"/>
      <c r="D967" s="85"/>
      <c r="E967" s="87"/>
      <c r="F967" s="87"/>
      <c r="H967" s="85"/>
      <c r="I967" s="88"/>
      <c r="J967" s="88"/>
      <c r="K967" s="89"/>
    </row>
    <row r="968" hidden="1">
      <c r="A968" s="85"/>
      <c r="B968" s="85"/>
      <c r="C968" s="86"/>
      <c r="D968" s="85"/>
      <c r="E968" s="87"/>
      <c r="F968" s="87"/>
      <c r="H968" s="85"/>
      <c r="I968" s="88"/>
      <c r="J968" s="88"/>
      <c r="K968" s="89"/>
    </row>
    <row r="969" hidden="1">
      <c r="A969" s="85"/>
      <c r="B969" s="85"/>
      <c r="C969" s="86"/>
      <c r="D969" s="85"/>
      <c r="E969" s="87"/>
      <c r="F969" s="87"/>
      <c r="H969" s="85"/>
      <c r="I969" s="88"/>
      <c r="J969" s="88"/>
      <c r="K969" s="89"/>
    </row>
    <row r="970" hidden="1">
      <c r="A970" s="85"/>
      <c r="B970" s="85"/>
      <c r="C970" s="86"/>
      <c r="D970" s="85"/>
      <c r="E970" s="87"/>
      <c r="F970" s="87"/>
      <c r="H970" s="85"/>
      <c r="I970" s="88"/>
      <c r="J970" s="88"/>
      <c r="K970" s="89"/>
    </row>
    <row r="971" hidden="1">
      <c r="A971" s="85"/>
      <c r="B971" s="85"/>
      <c r="C971" s="86"/>
      <c r="D971" s="85"/>
      <c r="E971" s="87"/>
      <c r="F971" s="87"/>
      <c r="H971" s="85"/>
      <c r="I971" s="88"/>
      <c r="J971" s="88"/>
      <c r="K971" s="89"/>
    </row>
    <row r="972" hidden="1">
      <c r="A972" s="85"/>
      <c r="B972" s="85"/>
      <c r="C972" s="86"/>
      <c r="D972" s="85"/>
      <c r="E972" s="87"/>
      <c r="F972" s="87"/>
      <c r="H972" s="85"/>
      <c r="I972" s="88"/>
      <c r="J972" s="88"/>
      <c r="K972" s="89"/>
    </row>
    <row r="973" hidden="1">
      <c r="A973" s="85"/>
      <c r="B973" s="85"/>
      <c r="C973" s="86"/>
      <c r="D973" s="85"/>
      <c r="E973" s="87"/>
      <c r="F973" s="87"/>
      <c r="H973" s="85"/>
      <c r="I973" s="88"/>
      <c r="J973" s="88"/>
      <c r="K973" s="89"/>
    </row>
    <row r="974" hidden="1">
      <c r="A974" s="85"/>
      <c r="B974" s="85"/>
      <c r="C974" s="86"/>
      <c r="D974" s="85"/>
      <c r="E974" s="87"/>
      <c r="F974" s="87"/>
      <c r="H974" s="85"/>
      <c r="I974" s="88"/>
      <c r="J974" s="88"/>
      <c r="K974" s="89"/>
    </row>
    <row r="975" hidden="1">
      <c r="A975" s="85"/>
      <c r="B975" s="85"/>
      <c r="C975" s="86"/>
      <c r="D975" s="85"/>
      <c r="E975" s="87"/>
      <c r="F975" s="87"/>
      <c r="H975" s="85"/>
      <c r="I975" s="88"/>
      <c r="J975" s="88"/>
      <c r="K975" s="89"/>
    </row>
    <row r="976" hidden="1">
      <c r="A976" s="85"/>
      <c r="B976" s="85"/>
      <c r="C976" s="86"/>
      <c r="D976" s="85"/>
      <c r="E976" s="87"/>
      <c r="F976" s="87"/>
      <c r="H976" s="85"/>
      <c r="I976" s="88"/>
      <c r="J976" s="88"/>
      <c r="K976" s="89"/>
    </row>
    <row r="977" hidden="1">
      <c r="A977" s="85"/>
      <c r="B977" s="85"/>
      <c r="C977" s="86"/>
      <c r="D977" s="85"/>
      <c r="E977" s="87"/>
      <c r="F977" s="87"/>
      <c r="H977" s="85"/>
      <c r="I977" s="88"/>
      <c r="J977" s="88"/>
      <c r="K977" s="89"/>
    </row>
    <row r="978" hidden="1">
      <c r="A978" s="85"/>
      <c r="B978" s="85"/>
      <c r="C978" s="86"/>
      <c r="D978" s="85"/>
      <c r="E978" s="87"/>
      <c r="F978" s="87"/>
      <c r="H978" s="85"/>
      <c r="I978" s="88"/>
      <c r="J978" s="88"/>
      <c r="K978" s="89"/>
    </row>
    <row r="979" hidden="1">
      <c r="A979" s="85"/>
      <c r="B979" s="85"/>
      <c r="C979" s="86"/>
      <c r="D979" s="85"/>
      <c r="E979" s="87"/>
      <c r="F979" s="87"/>
      <c r="H979" s="85"/>
      <c r="I979" s="88"/>
      <c r="J979" s="88"/>
      <c r="K979" s="89"/>
    </row>
    <row r="980" hidden="1">
      <c r="A980" s="85"/>
      <c r="B980" s="85"/>
      <c r="C980" s="86"/>
      <c r="D980" s="85"/>
      <c r="E980" s="87"/>
      <c r="F980" s="87"/>
      <c r="H980" s="85"/>
      <c r="I980" s="88"/>
      <c r="J980" s="88"/>
      <c r="K980" s="89"/>
    </row>
    <row r="981" hidden="1">
      <c r="A981" s="85"/>
      <c r="B981" s="85"/>
      <c r="C981" s="86"/>
      <c r="D981" s="85"/>
      <c r="E981" s="87"/>
      <c r="F981" s="87"/>
      <c r="H981" s="85"/>
      <c r="I981" s="88"/>
      <c r="J981" s="88"/>
      <c r="K981" s="89"/>
    </row>
    <row r="982" hidden="1">
      <c r="A982" s="85"/>
      <c r="B982" s="85"/>
      <c r="C982" s="86"/>
      <c r="D982" s="85"/>
      <c r="E982" s="87"/>
      <c r="F982" s="87"/>
      <c r="H982" s="85"/>
      <c r="I982" s="88"/>
      <c r="J982" s="88"/>
      <c r="K982" s="89"/>
    </row>
    <row r="983" hidden="1">
      <c r="A983" s="85"/>
      <c r="B983" s="85"/>
      <c r="C983" s="86"/>
      <c r="D983" s="85"/>
      <c r="E983" s="87"/>
      <c r="F983" s="87"/>
      <c r="H983" s="85"/>
      <c r="I983" s="88"/>
      <c r="J983" s="88"/>
      <c r="K983" s="89"/>
    </row>
    <row r="984" hidden="1">
      <c r="A984" s="85"/>
      <c r="B984" s="85"/>
      <c r="C984" s="86"/>
      <c r="D984" s="85"/>
      <c r="E984" s="87"/>
      <c r="F984" s="87"/>
      <c r="H984" s="85"/>
      <c r="I984" s="88"/>
      <c r="J984" s="88"/>
      <c r="K984" s="89"/>
    </row>
    <row r="985" hidden="1">
      <c r="A985" s="85"/>
      <c r="B985" s="85"/>
      <c r="C985" s="86"/>
      <c r="D985" s="85"/>
      <c r="E985" s="87"/>
      <c r="F985" s="87"/>
      <c r="H985" s="85"/>
      <c r="I985" s="88"/>
      <c r="J985" s="88"/>
      <c r="K985" s="89"/>
    </row>
    <row r="986" hidden="1">
      <c r="A986" s="85"/>
      <c r="B986" s="85"/>
      <c r="C986" s="86"/>
      <c r="D986" s="85"/>
      <c r="E986" s="87"/>
      <c r="F986" s="87"/>
      <c r="H986" s="85"/>
      <c r="I986" s="88"/>
      <c r="J986" s="88"/>
      <c r="K986" s="89"/>
    </row>
    <row r="987" hidden="1">
      <c r="A987" s="85"/>
      <c r="B987" s="85"/>
      <c r="C987" s="86"/>
      <c r="D987" s="85"/>
      <c r="E987" s="87"/>
      <c r="F987" s="87"/>
      <c r="H987" s="85"/>
      <c r="I987" s="88"/>
      <c r="J987" s="88"/>
      <c r="K987" s="89"/>
    </row>
    <row r="988" hidden="1">
      <c r="A988" s="85"/>
      <c r="B988" s="85"/>
      <c r="C988" s="86"/>
      <c r="D988" s="85"/>
      <c r="E988" s="87"/>
      <c r="F988" s="87"/>
      <c r="H988" s="85"/>
      <c r="I988" s="88"/>
      <c r="J988" s="88"/>
      <c r="K988" s="89"/>
    </row>
    <row r="989" hidden="1">
      <c r="A989" s="85"/>
      <c r="B989" s="85"/>
      <c r="C989" s="86"/>
      <c r="D989" s="85"/>
      <c r="E989" s="87"/>
      <c r="F989" s="87"/>
      <c r="H989" s="85"/>
      <c r="I989" s="88"/>
      <c r="J989" s="88"/>
      <c r="K989" s="89"/>
    </row>
    <row r="990" hidden="1">
      <c r="A990" s="85"/>
      <c r="B990" s="85"/>
      <c r="C990" s="86"/>
      <c r="D990" s="85"/>
      <c r="E990" s="87"/>
      <c r="F990" s="87"/>
      <c r="H990" s="85"/>
      <c r="I990" s="88"/>
      <c r="J990" s="88"/>
      <c r="K990" s="89"/>
    </row>
    <row r="991" hidden="1">
      <c r="A991" s="85"/>
      <c r="B991" s="85"/>
      <c r="C991" s="86"/>
      <c r="D991" s="85"/>
      <c r="E991" s="87"/>
      <c r="F991" s="87"/>
      <c r="H991" s="85"/>
      <c r="I991" s="88"/>
      <c r="J991" s="88"/>
      <c r="K991" s="89"/>
    </row>
    <row r="992" hidden="1">
      <c r="A992" s="85"/>
      <c r="B992" s="85"/>
      <c r="C992" s="86"/>
      <c r="D992" s="85"/>
      <c r="E992" s="87"/>
      <c r="F992" s="87"/>
      <c r="H992" s="85"/>
      <c r="I992" s="88"/>
      <c r="J992" s="88"/>
      <c r="K992" s="89"/>
    </row>
    <row r="993" hidden="1">
      <c r="A993" s="85"/>
      <c r="B993" s="85"/>
      <c r="C993" s="86"/>
      <c r="D993" s="85"/>
      <c r="E993" s="87"/>
      <c r="F993" s="87"/>
      <c r="H993" s="85"/>
      <c r="I993" s="88"/>
      <c r="J993" s="88"/>
      <c r="K993" s="89"/>
    </row>
    <row r="994" hidden="1">
      <c r="A994" s="85"/>
      <c r="B994" s="85"/>
      <c r="C994" s="86"/>
      <c r="D994" s="85"/>
      <c r="E994" s="87"/>
      <c r="F994" s="87"/>
      <c r="H994" s="85"/>
      <c r="I994" s="88"/>
      <c r="J994" s="88"/>
      <c r="K994" s="89"/>
    </row>
    <row r="995" hidden="1">
      <c r="A995" s="85"/>
      <c r="B995" s="85"/>
      <c r="C995" s="86"/>
      <c r="D995" s="85"/>
      <c r="E995" s="87"/>
      <c r="F995" s="87"/>
      <c r="H995" s="85"/>
      <c r="I995" s="88"/>
      <c r="J995" s="88"/>
      <c r="K995" s="89"/>
    </row>
    <row r="996" hidden="1">
      <c r="A996" s="85"/>
      <c r="B996" s="85"/>
      <c r="C996" s="86"/>
      <c r="D996" s="85"/>
      <c r="E996" s="87"/>
      <c r="F996" s="87"/>
      <c r="H996" s="85"/>
      <c r="I996" s="88"/>
      <c r="J996" s="88"/>
      <c r="K996" s="89"/>
    </row>
    <row r="997" hidden="1">
      <c r="A997" s="85"/>
      <c r="B997" s="85"/>
      <c r="C997" s="86"/>
      <c r="D997" s="85"/>
      <c r="E997" s="87"/>
      <c r="F997" s="87"/>
      <c r="H997" s="85"/>
      <c r="I997" s="88"/>
      <c r="J997" s="88"/>
      <c r="K997" s="89"/>
    </row>
    <row r="998" hidden="1">
      <c r="A998" s="85"/>
      <c r="B998" s="85"/>
      <c r="C998" s="86"/>
      <c r="D998" s="85"/>
      <c r="E998" s="87"/>
      <c r="F998" s="87"/>
      <c r="H998" s="85"/>
      <c r="I998" s="88"/>
      <c r="J998" s="88"/>
      <c r="K998" s="89"/>
    </row>
    <row r="999" hidden="1">
      <c r="A999" s="85"/>
      <c r="B999" s="85"/>
      <c r="C999" s="86"/>
      <c r="D999" s="85"/>
      <c r="E999" s="87"/>
      <c r="F999" s="87"/>
      <c r="H999" s="85"/>
      <c r="I999" s="88"/>
      <c r="J999" s="88"/>
      <c r="K999" s="89"/>
    </row>
    <row r="1000" hidden="1">
      <c r="A1000" s="85"/>
      <c r="B1000" s="85"/>
      <c r="C1000" s="86"/>
      <c r="D1000" s="85"/>
      <c r="E1000" s="87"/>
      <c r="F1000" s="87"/>
      <c r="H1000" s="85"/>
      <c r="I1000" s="88"/>
      <c r="J1000" s="88"/>
      <c r="K1000" s="89"/>
    </row>
    <row r="1001" hidden="1">
      <c r="A1001" s="85"/>
      <c r="B1001" s="85"/>
      <c r="C1001" s="86"/>
      <c r="D1001" s="85"/>
      <c r="E1001" s="87"/>
      <c r="F1001" s="87"/>
      <c r="H1001" s="85"/>
      <c r="I1001" s="88"/>
      <c r="J1001" s="88"/>
      <c r="K1001" s="89"/>
    </row>
    <row r="1002" hidden="1">
      <c r="A1002" s="85"/>
      <c r="B1002" s="85"/>
      <c r="C1002" s="86"/>
      <c r="D1002" s="85"/>
      <c r="E1002" s="87"/>
      <c r="F1002" s="87"/>
      <c r="H1002" s="85"/>
      <c r="I1002" s="88"/>
      <c r="J1002" s="88"/>
      <c r="K1002" s="89"/>
    </row>
    <row r="1003" hidden="1">
      <c r="A1003" s="85"/>
      <c r="B1003" s="85"/>
      <c r="C1003" s="86"/>
      <c r="D1003" s="85"/>
      <c r="E1003" s="87"/>
      <c r="F1003" s="87"/>
      <c r="H1003" s="85"/>
      <c r="I1003" s="88"/>
      <c r="J1003" s="88"/>
      <c r="K1003" s="89"/>
    </row>
    <row r="1004" hidden="1">
      <c r="A1004" s="85"/>
      <c r="B1004" s="85"/>
      <c r="C1004" s="86"/>
      <c r="D1004" s="85"/>
      <c r="E1004" s="87"/>
      <c r="F1004" s="87"/>
      <c r="H1004" s="85"/>
      <c r="I1004" s="88"/>
      <c r="J1004" s="88"/>
      <c r="K1004" s="89"/>
    </row>
    <row r="1005" hidden="1">
      <c r="A1005" s="85"/>
      <c r="B1005" s="85"/>
      <c r="C1005" s="86"/>
      <c r="D1005" s="85"/>
      <c r="E1005" s="87"/>
      <c r="F1005" s="87"/>
      <c r="H1005" s="85"/>
      <c r="I1005" s="88"/>
      <c r="J1005" s="88"/>
      <c r="K1005" s="89"/>
    </row>
    <row r="1006" hidden="1">
      <c r="A1006" s="85"/>
      <c r="B1006" s="85"/>
      <c r="C1006" s="86"/>
      <c r="D1006" s="85"/>
      <c r="E1006" s="87"/>
      <c r="F1006" s="87"/>
      <c r="H1006" s="85"/>
      <c r="I1006" s="88"/>
      <c r="J1006" s="88"/>
      <c r="K1006" s="89"/>
    </row>
    <row r="1007" hidden="1">
      <c r="A1007" s="85"/>
      <c r="B1007" s="85"/>
      <c r="C1007" s="86"/>
      <c r="D1007" s="85"/>
      <c r="E1007" s="87"/>
      <c r="F1007" s="87"/>
      <c r="H1007" s="85"/>
      <c r="I1007" s="88"/>
      <c r="J1007" s="88"/>
      <c r="K1007" s="89"/>
    </row>
    <row r="1008" hidden="1">
      <c r="A1008" s="85"/>
      <c r="B1008" s="85"/>
      <c r="C1008" s="86"/>
      <c r="D1008" s="85"/>
      <c r="E1008" s="87"/>
      <c r="F1008" s="87"/>
      <c r="H1008" s="85"/>
      <c r="I1008" s="88"/>
      <c r="J1008" s="88"/>
      <c r="K1008" s="89"/>
    </row>
    <row r="1009" hidden="1">
      <c r="A1009" s="85"/>
      <c r="B1009" s="85"/>
      <c r="C1009" s="86"/>
      <c r="D1009" s="85"/>
      <c r="E1009" s="87"/>
      <c r="F1009" s="87"/>
      <c r="H1009" s="85"/>
      <c r="I1009" s="88"/>
      <c r="J1009" s="88"/>
      <c r="K1009" s="89"/>
    </row>
    <row r="1010" hidden="1">
      <c r="A1010" s="85"/>
      <c r="B1010" s="85"/>
      <c r="C1010" s="86"/>
      <c r="D1010" s="85"/>
      <c r="E1010" s="87"/>
      <c r="F1010" s="87"/>
      <c r="H1010" s="85"/>
      <c r="I1010" s="88"/>
      <c r="J1010" s="88"/>
      <c r="K1010" s="89"/>
    </row>
    <row r="1011" hidden="1">
      <c r="A1011" s="85"/>
      <c r="B1011" s="85"/>
      <c r="C1011" s="86"/>
      <c r="D1011" s="85"/>
      <c r="E1011" s="87"/>
      <c r="F1011" s="87"/>
      <c r="H1011" s="85"/>
      <c r="I1011" s="88"/>
      <c r="J1011" s="88"/>
      <c r="K1011" s="89"/>
    </row>
    <row r="1012" hidden="1">
      <c r="A1012" s="85"/>
      <c r="B1012" s="85"/>
      <c r="C1012" s="86"/>
      <c r="D1012" s="85"/>
      <c r="E1012" s="87"/>
      <c r="F1012" s="87"/>
      <c r="H1012" s="85"/>
      <c r="I1012" s="88"/>
      <c r="J1012" s="88"/>
      <c r="K1012" s="89"/>
    </row>
    <row r="1013" hidden="1">
      <c r="A1013" s="85"/>
      <c r="B1013" s="85"/>
      <c r="C1013" s="86"/>
      <c r="D1013" s="85"/>
      <c r="E1013" s="87"/>
      <c r="F1013" s="87"/>
      <c r="H1013" s="85"/>
      <c r="I1013" s="88"/>
      <c r="J1013" s="88"/>
      <c r="K1013" s="89"/>
    </row>
    <row r="1014" hidden="1">
      <c r="A1014" s="85"/>
      <c r="B1014" s="85"/>
      <c r="C1014" s="86"/>
      <c r="D1014" s="85"/>
      <c r="E1014" s="87"/>
      <c r="F1014" s="87"/>
      <c r="H1014" s="85"/>
      <c r="I1014" s="88"/>
      <c r="J1014" s="88"/>
      <c r="K1014" s="89"/>
    </row>
    <row r="1015" hidden="1">
      <c r="A1015" s="85"/>
      <c r="B1015" s="85"/>
      <c r="C1015" s="86"/>
      <c r="D1015" s="85"/>
      <c r="E1015" s="87"/>
      <c r="F1015" s="87"/>
      <c r="H1015" s="85"/>
      <c r="I1015" s="88"/>
      <c r="J1015" s="88"/>
      <c r="K1015" s="89"/>
    </row>
    <row r="1016" hidden="1">
      <c r="A1016" s="85"/>
      <c r="B1016" s="85"/>
      <c r="C1016" s="86"/>
      <c r="D1016" s="85"/>
      <c r="E1016" s="87"/>
      <c r="F1016" s="87"/>
      <c r="H1016" s="85"/>
      <c r="I1016" s="88"/>
      <c r="J1016" s="88"/>
      <c r="K1016" s="89"/>
    </row>
    <row r="1017" hidden="1">
      <c r="A1017" s="85"/>
      <c r="B1017" s="85"/>
      <c r="C1017" s="86"/>
      <c r="D1017" s="85"/>
      <c r="E1017" s="87"/>
      <c r="F1017" s="87"/>
      <c r="H1017" s="85"/>
      <c r="I1017" s="88"/>
      <c r="J1017" s="88"/>
      <c r="K1017" s="89"/>
    </row>
    <row r="1018" hidden="1">
      <c r="A1018" s="85"/>
      <c r="B1018" s="85"/>
      <c r="C1018" s="86"/>
      <c r="D1018" s="85"/>
      <c r="E1018" s="87"/>
      <c r="F1018" s="87"/>
      <c r="H1018" s="85"/>
      <c r="I1018" s="88"/>
      <c r="J1018" s="88"/>
      <c r="K1018" s="89"/>
    </row>
    <row r="1019" hidden="1">
      <c r="A1019" s="85"/>
      <c r="B1019" s="85"/>
      <c r="C1019" s="86"/>
      <c r="D1019" s="85"/>
      <c r="E1019" s="87"/>
      <c r="F1019" s="87"/>
      <c r="H1019" s="85"/>
      <c r="I1019" s="88"/>
      <c r="J1019" s="88"/>
      <c r="K1019" s="89"/>
    </row>
    <row r="1020" hidden="1">
      <c r="A1020" s="85"/>
      <c r="B1020" s="85"/>
      <c r="C1020" s="86"/>
      <c r="D1020" s="85"/>
      <c r="E1020" s="87"/>
      <c r="F1020" s="87"/>
      <c r="H1020" s="85"/>
      <c r="I1020" s="88"/>
      <c r="J1020" s="88"/>
      <c r="K1020" s="89"/>
    </row>
    <row r="1021" hidden="1">
      <c r="A1021" s="85"/>
      <c r="B1021" s="85"/>
      <c r="C1021" s="86"/>
      <c r="D1021" s="85"/>
      <c r="E1021" s="87"/>
      <c r="F1021" s="87"/>
      <c r="H1021" s="85"/>
      <c r="I1021" s="88"/>
      <c r="J1021" s="88"/>
      <c r="K1021" s="89"/>
    </row>
    <row r="1022" hidden="1">
      <c r="A1022" s="85"/>
      <c r="B1022" s="85"/>
      <c r="C1022" s="86"/>
      <c r="D1022" s="85"/>
      <c r="E1022" s="87"/>
      <c r="F1022" s="87"/>
      <c r="H1022" s="85"/>
      <c r="I1022" s="88"/>
      <c r="J1022" s="88"/>
      <c r="K1022" s="89"/>
    </row>
    <row r="1023" hidden="1">
      <c r="A1023" s="85"/>
      <c r="B1023" s="85"/>
      <c r="C1023" s="86"/>
      <c r="D1023" s="85"/>
      <c r="E1023" s="87"/>
      <c r="F1023" s="87"/>
      <c r="H1023" s="85"/>
      <c r="I1023" s="88"/>
      <c r="J1023" s="88"/>
      <c r="K1023" s="89"/>
    </row>
    <row r="1024" hidden="1">
      <c r="A1024" s="85"/>
      <c r="B1024" s="85"/>
      <c r="C1024" s="86"/>
      <c r="D1024" s="85"/>
      <c r="E1024" s="87"/>
      <c r="F1024" s="87"/>
      <c r="H1024" s="85"/>
      <c r="I1024" s="88"/>
      <c r="J1024" s="88"/>
      <c r="K1024" s="89"/>
    </row>
    <row r="1025" hidden="1">
      <c r="A1025" s="85"/>
      <c r="B1025" s="85"/>
      <c r="C1025" s="86"/>
      <c r="D1025" s="85"/>
      <c r="E1025" s="87"/>
      <c r="F1025" s="87"/>
      <c r="H1025" s="85"/>
      <c r="I1025" s="88"/>
      <c r="J1025" s="88"/>
      <c r="K1025" s="89"/>
    </row>
    <row r="1026" hidden="1">
      <c r="A1026" s="85"/>
      <c r="B1026" s="85"/>
      <c r="C1026" s="86"/>
      <c r="D1026" s="85"/>
      <c r="E1026" s="87"/>
      <c r="F1026" s="87"/>
      <c r="H1026" s="85"/>
      <c r="I1026" s="88"/>
      <c r="J1026" s="88"/>
      <c r="K1026" s="89"/>
    </row>
    <row r="1027" hidden="1">
      <c r="A1027" s="85"/>
      <c r="B1027" s="85"/>
      <c r="C1027" s="86"/>
      <c r="D1027" s="85"/>
      <c r="E1027" s="87"/>
      <c r="F1027" s="87"/>
      <c r="H1027" s="85"/>
      <c r="I1027" s="88"/>
      <c r="J1027" s="88"/>
      <c r="K1027" s="89"/>
    </row>
    <row r="1028" hidden="1">
      <c r="A1028" s="85"/>
      <c r="B1028" s="85"/>
      <c r="C1028" s="86"/>
      <c r="D1028" s="85"/>
      <c r="E1028" s="87"/>
      <c r="F1028" s="87"/>
      <c r="H1028" s="85"/>
      <c r="I1028" s="88"/>
      <c r="J1028" s="88"/>
      <c r="K1028" s="89"/>
    </row>
    <row r="1029" hidden="1">
      <c r="A1029" s="85"/>
      <c r="B1029" s="85"/>
      <c r="C1029" s="86"/>
      <c r="D1029" s="85"/>
      <c r="E1029" s="87"/>
      <c r="F1029" s="87"/>
      <c r="H1029" s="85"/>
      <c r="I1029" s="88"/>
      <c r="J1029" s="88"/>
      <c r="K1029" s="89"/>
    </row>
    <row r="1030" hidden="1">
      <c r="A1030" s="85"/>
      <c r="B1030" s="85"/>
      <c r="C1030" s="86"/>
      <c r="D1030" s="85"/>
      <c r="E1030" s="87"/>
      <c r="F1030" s="87"/>
      <c r="H1030" s="85"/>
      <c r="I1030" s="88"/>
      <c r="J1030" s="88"/>
      <c r="K1030" s="89"/>
    </row>
    <row r="1031" hidden="1">
      <c r="A1031" s="85"/>
      <c r="B1031" s="85"/>
      <c r="C1031" s="86"/>
      <c r="D1031" s="85"/>
      <c r="E1031" s="87"/>
      <c r="F1031" s="87"/>
      <c r="H1031" s="85"/>
      <c r="I1031" s="88"/>
      <c r="J1031" s="88"/>
      <c r="K1031" s="89"/>
    </row>
    <row r="1032" hidden="1">
      <c r="A1032" s="85"/>
      <c r="B1032" s="85"/>
      <c r="C1032" s="86"/>
      <c r="D1032" s="85"/>
      <c r="E1032" s="87"/>
      <c r="F1032" s="87"/>
      <c r="H1032" s="85"/>
      <c r="I1032" s="88"/>
      <c r="J1032" s="88"/>
      <c r="K1032" s="89"/>
    </row>
    <row r="1033" hidden="1">
      <c r="A1033" s="85"/>
      <c r="B1033" s="85"/>
      <c r="C1033" s="86"/>
      <c r="D1033" s="85"/>
      <c r="E1033" s="87"/>
      <c r="F1033" s="87"/>
      <c r="H1033" s="85"/>
      <c r="I1033" s="88"/>
      <c r="J1033" s="88"/>
      <c r="K1033" s="89"/>
    </row>
    <row r="1034" hidden="1">
      <c r="A1034" s="85"/>
      <c r="B1034" s="85"/>
      <c r="C1034" s="86"/>
      <c r="D1034" s="85"/>
      <c r="E1034" s="87"/>
      <c r="F1034" s="87"/>
      <c r="H1034" s="85"/>
      <c r="I1034" s="88"/>
      <c r="J1034" s="88"/>
      <c r="K1034" s="89"/>
    </row>
    <row r="1035" hidden="1">
      <c r="A1035" s="85"/>
      <c r="B1035" s="85"/>
      <c r="C1035" s="86"/>
      <c r="D1035" s="85"/>
      <c r="E1035" s="87"/>
      <c r="F1035" s="87"/>
      <c r="H1035" s="85"/>
      <c r="I1035" s="88"/>
      <c r="J1035" s="88"/>
      <c r="K1035" s="89"/>
    </row>
    <row r="1036" hidden="1">
      <c r="A1036" s="85"/>
      <c r="B1036" s="85"/>
      <c r="C1036" s="86"/>
      <c r="D1036" s="85"/>
      <c r="E1036" s="87"/>
      <c r="F1036" s="87"/>
      <c r="H1036" s="85"/>
      <c r="I1036" s="88"/>
      <c r="J1036" s="88"/>
      <c r="K1036" s="89"/>
    </row>
    <row r="1037" hidden="1">
      <c r="A1037" s="85"/>
      <c r="B1037" s="85"/>
      <c r="C1037" s="86"/>
      <c r="D1037" s="85"/>
      <c r="E1037" s="87"/>
      <c r="F1037" s="87"/>
      <c r="H1037" s="85"/>
      <c r="I1037" s="88"/>
      <c r="J1037" s="88"/>
      <c r="K1037" s="89"/>
    </row>
    <row r="1038" hidden="1">
      <c r="A1038" s="85"/>
      <c r="B1038" s="85"/>
      <c r="C1038" s="86"/>
      <c r="D1038" s="85"/>
      <c r="E1038" s="87"/>
      <c r="F1038" s="87"/>
      <c r="H1038" s="85"/>
      <c r="I1038" s="88"/>
      <c r="J1038" s="88"/>
      <c r="K1038" s="89"/>
    </row>
    <row r="1039" hidden="1">
      <c r="A1039" s="85"/>
      <c r="B1039" s="85"/>
      <c r="C1039" s="86"/>
      <c r="D1039" s="85"/>
      <c r="E1039" s="87"/>
      <c r="F1039" s="87"/>
      <c r="H1039" s="85"/>
      <c r="I1039" s="88"/>
      <c r="J1039" s="88"/>
      <c r="K1039" s="89"/>
    </row>
    <row r="1040" hidden="1">
      <c r="A1040" s="85"/>
      <c r="B1040" s="85"/>
      <c r="C1040" s="86"/>
      <c r="D1040" s="85"/>
      <c r="E1040" s="87"/>
      <c r="F1040" s="87"/>
      <c r="H1040" s="85"/>
      <c r="I1040" s="88"/>
      <c r="J1040" s="88"/>
      <c r="K1040" s="89"/>
    </row>
    <row r="1041" hidden="1">
      <c r="A1041" s="85"/>
      <c r="B1041" s="85"/>
      <c r="C1041" s="86"/>
      <c r="D1041" s="85"/>
      <c r="E1041" s="87"/>
      <c r="F1041" s="87"/>
      <c r="H1041" s="85"/>
      <c r="I1041" s="88"/>
      <c r="J1041" s="88"/>
      <c r="K1041" s="89"/>
    </row>
  </sheetData>
  <autoFilter ref="$A$1:$J$40">
    <sortState ref="A1:J40">
      <sortCondition ref="F1:F40"/>
    </sortState>
  </autoFilter>
  <conditionalFormatting sqref="I2:J1041">
    <cfRule type="cellIs" dxfId="7" priority="1" operator="equal">
      <formula>"No"</formula>
    </cfRule>
  </conditionalFormatting>
  <conditionalFormatting sqref="I2:J1041">
    <cfRule type="cellIs" dxfId="8" priority="2" operator="equal">
      <formula>"Yes"</formula>
    </cfRule>
  </conditionalFormatting>
  <dataValidations>
    <dataValidation type="list" allowBlank="1" showErrorMessage="1" sqref="I2:J24 I26:J1041">
      <formula1>"Yes,No"</formula1>
    </dataValidation>
    <dataValidation type="list" allowBlank="1" showErrorMessage="1" sqref="H2:H24 H26:H1041">
      <formula1>"Not Started,In Progress,Under Review,Completed"</formula1>
    </dataValidation>
  </dataValidations>
  <hyperlinks>
    <hyperlink r:id="rId1" ref="F9"/>
    <hyperlink r:id="rId2" ref="G14"/>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110.0"/>
    <col customWidth="1" min="3" max="3" width="59.88"/>
  </cols>
  <sheetData>
    <row r="1">
      <c r="A1" s="90" t="s">
        <v>566</v>
      </c>
      <c r="B1" s="90" t="s">
        <v>8</v>
      </c>
      <c r="C1" s="90" t="s">
        <v>567</v>
      </c>
    </row>
    <row r="2" ht="148.5" customHeight="1">
      <c r="A2" s="91">
        <v>46042.0</v>
      </c>
      <c r="B2" s="25" t="s">
        <v>568</v>
      </c>
      <c r="C2" s="25" t="s">
        <v>569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22.13"/>
    <col customWidth="1" min="5" max="5" width="19.75"/>
  </cols>
  <sheetData>
    <row r="1">
      <c r="A1" s="25" t="s">
        <v>364</v>
      </c>
      <c r="B1" s="25" t="s">
        <v>570</v>
      </c>
      <c r="C1" s="25" t="s">
        <v>571</v>
      </c>
      <c r="D1" s="25" t="s">
        <v>572</v>
      </c>
    </row>
    <row r="2">
      <c r="A2" s="25" t="s">
        <v>573</v>
      </c>
    </row>
    <row r="3">
      <c r="A3" s="25" t="s">
        <v>574</v>
      </c>
      <c r="B3" s="25" t="s">
        <v>192</v>
      </c>
      <c r="C3" s="25" t="s">
        <v>575</v>
      </c>
      <c r="D3" s="25" t="s">
        <v>576</v>
      </c>
    </row>
    <row r="4">
      <c r="A4" s="25" t="s">
        <v>574</v>
      </c>
      <c r="B4" s="25" t="s">
        <v>577</v>
      </c>
      <c r="C4" s="25" t="s">
        <v>364</v>
      </c>
      <c r="D4" s="25" t="s">
        <v>576</v>
      </c>
    </row>
    <row r="5">
      <c r="A5" s="25" t="s">
        <v>574</v>
      </c>
      <c r="B5" s="25" t="s">
        <v>13</v>
      </c>
      <c r="C5" s="25" t="s">
        <v>57</v>
      </c>
      <c r="D5" s="25" t="s">
        <v>576</v>
      </c>
    </row>
    <row r="6">
      <c r="A6" s="25" t="s">
        <v>574</v>
      </c>
      <c r="B6" s="25" t="s">
        <v>578</v>
      </c>
      <c r="C6" s="25" t="s">
        <v>575</v>
      </c>
      <c r="D6" s="25" t="s">
        <v>576</v>
      </c>
    </row>
    <row r="7">
      <c r="A7" s="25" t="s">
        <v>574</v>
      </c>
      <c r="B7" s="25" t="s">
        <v>579</v>
      </c>
      <c r="C7" s="25" t="s">
        <v>575</v>
      </c>
      <c r="D7" s="25" t="s">
        <v>254</v>
      </c>
    </row>
    <row r="8">
      <c r="A8" s="25" t="s">
        <v>574</v>
      </c>
      <c r="B8" s="25" t="s">
        <v>580</v>
      </c>
      <c r="C8" s="25" t="s">
        <v>575</v>
      </c>
    </row>
    <row r="9">
      <c r="A9" s="25" t="s">
        <v>581</v>
      </c>
      <c r="B9" s="25" t="s">
        <v>582</v>
      </c>
      <c r="C9" s="25" t="s">
        <v>57</v>
      </c>
      <c r="D9" s="25" t="s">
        <v>576</v>
      </c>
    </row>
    <row r="10">
      <c r="A10" s="25" t="s">
        <v>581</v>
      </c>
      <c r="B10" s="25" t="s">
        <v>13</v>
      </c>
      <c r="C10" s="25" t="s">
        <v>57</v>
      </c>
      <c r="D10" s="25" t="s">
        <v>576</v>
      </c>
    </row>
    <row r="11">
      <c r="A11" s="25" t="s">
        <v>581</v>
      </c>
      <c r="B11" s="25" t="s">
        <v>583</v>
      </c>
      <c r="C11" s="25" t="s">
        <v>364</v>
      </c>
    </row>
    <row r="12">
      <c r="A12" s="25" t="s">
        <v>584</v>
      </c>
      <c r="B12" s="25" t="s">
        <v>585</v>
      </c>
      <c r="C12" s="25" t="s">
        <v>575</v>
      </c>
      <c r="D12" s="25" t="s">
        <v>576</v>
      </c>
    </row>
    <row r="13">
      <c r="A13" s="25" t="s">
        <v>584</v>
      </c>
      <c r="B13" s="25" t="s">
        <v>586</v>
      </c>
      <c r="C13" s="25" t="s">
        <v>575</v>
      </c>
    </row>
    <row r="14">
      <c r="A14" s="25" t="s">
        <v>584</v>
      </c>
      <c r="B14" s="25" t="s">
        <v>587</v>
      </c>
      <c r="C14" s="25" t="s">
        <v>575</v>
      </c>
    </row>
    <row r="15">
      <c r="A15" s="25" t="s">
        <v>584</v>
      </c>
      <c r="B15" s="25" t="s">
        <v>94</v>
      </c>
      <c r="C15" s="25" t="s">
        <v>575</v>
      </c>
      <c r="D15" s="25" t="s">
        <v>576</v>
      </c>
    </row>
    <row r="16">
      <c r="A16" s="25" t="s">
        <v>584</v>
      </c>
      <c r="B16" s="25" t="s">
        <v>588</v>
      </c>
      <c r="C16" s="25" t="s">
        <v>57</v>
      </c>
      <c r="D16" s="25" t="s">
        <v>576</v>
      </c>
    </row>
    <row r="17">
      <c r="A17" s="25" t="s">
        <v>584</v>
      </c>
      <c r="B17" s="25" t="s">
        <v>589</v>
      </c>
      <c r="C17" s="25" t="s">
        <v>364</v>
      </c>
      <c r="D17" s="25" t="s">
        <v>576</v>
      </c>
    </row>
    <row r="18">
      <c r="A18" s="25" t="s">
        <v>590</v>
      </c>
      <c r="B18" s="25" t="s">
        <v>591</v>
      </c>
      <c r="C18" s="25" t="s">
        <v>575</v>
      </c>
      <c r="D18" s="25" t="s">
        <v>592</v>
      </c>
    </row>
    <row r="19">
      <c r="A19" s="25" t="s">
        <v>590</v>
      </c>
      <c r="B19" s="25" t="s">
        <v>593</v>
      </c>
      <c r="C19" s="25" t="s">
        <v>57</v>
      </c>
    </row>
    <row r="20">
      <c r="A20" s="25" t="s">
        <v>590</v>
      </c>
      <c r="B20" s="25" t="s">
        <v>594</v>
      </c>
      <c r="C20" s="25" t="s">
        <v>575</v>
      </c>
      <c r="D20" s="25" t="s">
        <v>576</v>
      </c>
    </row>
    <row r="21">
      <c r="A21" s="25" t="s">
        <v>590</v>
      </c>
      <c r="B21" s="25" t="s">
        <v>595</v>
      </c>
      <c r="C21" s="25" t="s">
        <v>575</v>
      </c>
    </row>
    <row r="22">
      <c r="A22" s="25" t="s">
        <v>596</v>
      </c>
      <c r="B22" s="25" t="s">
        <v>13</v>
      </c>
      <c r="C22" s="25" t="s">
        <v>57</v>
      </c>
      <c r="D22" s="25" t="s">
        <v>576</v>
      </c>
    </row>
    <row r="23">
      <c r="A23" s="25" t="s">
        <v>596</v>
      </c>
      <c r="B23" s="25" t="s">
        <v>597</v>
      </c>
      <c r="C23" s="25" t="s">
        <v>575</v>
      </c>
      <c r="D23" s="25" t="s">
        <v>598</v>
      </c>
    </row>
    <row r="24">
      <c r="A24" s="25" t="s">
        <v>596</v>
      </c>
      <c r="B24" s="25" t="s">
        <v>599</v>
      </c>
      <c r="C24" s="25" t="s">
        <v>575</v>
      </c>
      <c r="D24" s="25" t="s">
        <v>576</v>
      </c>
    </row>
    <row r="25">
      <c r="A25" s="25" t="s">
        <v>596</v>
      </c>
      <c r="B25" s="92" t="s">
        <v>277</v>
      </c>
      <c r="C25" s="25" t="s">
        <v>600</v>
      </c>
      <c r="D25" s="25" t="s">
        <v>576</v>
      </c>
    </row>
    <row r="26">
      <c r="A26" s="25" t="s">
        <v>218</v>
      </c>
      <c r="B26" s="25" t="s">
        <v>265</v>
      </c>
      <c r="C26" s="25" t="s">
        <v>57</v>
      </c>
      <c r="D26" s="25" t="s">
        <v>576</v>
      </c>
    </row>
    <row r="27">
      <c r="A27" s="25" t="s">
        <v>601</v>
      </c>
      <c r="B27" s="25" t="s">
        <v>602</v>
      </c>
      <c r="C27" s="25" t="s">
        <v>575</v>
      </c>
      <c r="D27" s="25" t="s">
        <v>576</v>
      </c>
    </row>
    <row r="28">
      <c r="A28" s="25" t="s">
        <v>601</v>
      </c>
      <c r="B28" s="25" t="s">
        <v>603</v>
      </c>
      <c r="C28" s="25" t="s">
        <v>575</v>
      </c>
      <c r="D28" s="25" t="s">
        <v>576</v>
      </c>
    </row>
    <row r="29">
      <c r="A29" s="25" t="s">
        <v>601</v>
      </c>
      <c r="B29" s="25" t="s">
        <v>604</v>
      </c>
      <c r="C29" s="25" t="s">
        <v>575</v>
      </c>
      <c r="D29" s="25" t="s">
        <v>576</v>
      </c>
    </row>
    <row r="30">
      <c r="A30" s="25" t="s">
        <v>601</v>
      </c>
      <c r="B30" s="25" t="s">
        <v>605</v>
      </c>
      <c r="C30" s="25" t="s">
        <v>575</v>
      </c>
      <c r="D30" s="25" t="s">
        <v>598</v>
      </c>
    </row>
    <row r="31">
      <c r="A31" s="25" t="s">
        <v>601</v>
      </c>
      <c r="B31" s="25" t="s">
        <v>606</v>
      </c>
      <c r="C31" s="25" t="s">
        <v>57</v>
      </c>
    </row>
    <row r="32">
      <c r="A32" s="25" t="s">
        <v>601</v>
      </c>
      <c r="B32" s="25" t="s">
        <v>607</v>
      </c>
      <c r="C32" s="25" t="s">
        <v>608</v>
      </c>
    </row>
    <row r="33">
      <c r="A33" s="25" t="s">
        <v>601</v>
      </c>
      <c r="B33" s="25" t="s">
        <v>609</v>
      </c>
      <c r="C33" s="25" t="s">
        <v>575</v>
      </c>
      <c r="D33" s="25" t="s">
        <v>576</v>
      </c>
    </row>
    <row r="34">
      <c r="A34" s="25" t="s">
        <v>596</v>
      </c>
      <c r="B34" s="25" t="s">
        <v>610</v>
      </c>
      <c r="D34" s="25" t="s">
        <v>576</v>
      </c>
    </row>
    <row r="35">
      <c r="A35" s="25" t="s">
        <v>596</v>
      </c>
      <c r="B35" s="25" t="s">
        <v>611</v>
      </c>
      <c r="D35" s="25" t="s">
        <v>576</v>
      </c>
    </row>
  </sheetData>
  <autoFilter ref="$A$1:$Z$35">
    <sortState ref="A1:Z35">
      <sortCondition ref="A1:A35"/>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4.25"/>
    <col customWidth="1" min="2" max="2" width="33.38"/>
    <col customWidth="1" min="3" max="3" width="17.25"/>
    <col customWidth="1" min="4" max="4" width="19.63"/>
    <col customWidth="1" min="5" max="5" width="22.38"/>
    <col customWidth="1" min="6" max="6" width="33.75"/>
    <col customWidth="1" min="7" max="7" width="12.75"/>
    <col customWidth="1" min="8" max="8" width="14.63"/>
    <col customWidth="1" min="9" max="9" width="51.38"/>
    <col customWidth="1" min="10" max="10" width="70.88"/>
    <col customWidth="1" min="11" max="11" width="51.38"/>
    <col customWidth="1" min="13" max="13" width="37.63"/>
    <col customWidth="1" min="15" max="15" width="13.13"/>
    <col customWidth="1" min="16" max="16" width="14.75"/>
    <col customWidth="1" min="18" max="18" width="16.88"/>
    <col customWidth="1" min="19" max="19" width="24.88"/>
  </cols>
  <sheetData>
    <row r="1" ht="22.5" customHeight="1">
      <c r="A1" s="25" t="s">
        <v>49</v>
      </c>
      <c r="B1" s="1" t="s">
        <v>51</v>
      </c>
      <c r="C1" s="26" t="s">
        <v>52</v>
      </c>
      <c r="D1" s="27" t="s">
        <v>53</v>
      </c>
      <c r="E1" s="28" t="s">
        <v>54</v>
      </c>
      <c r="F1" s="27" t="s">
        <v>55</v>
      </c>
      <c r="G1" s="27" t="s">
        <v>56</v>
      </c>
      <c r="H1" s="93" t="s">
        <v>612</v>
      </c>
      <c r="I1" s="93" t="s">
        <v>613</v>
      </c>
      <c r="J1" s="93" t="s">
        <v>614</v>
      </c>
      <c r="K1" s="93" t="s">
        <v>615</v>
      </c>
      <c r="L1" s="26" t="s">
        <v>616</v>
      </c>
      <c r="M1" s="29" t="s">
        <v>8</v>
      </c>
      <c r="N1" s="29" t="s">
        <v>617</v>
      </c>
      <c r="O1" s="29" t="s">
        <v>618</v>
      </c>
      <c r="P1" s="29" t="s">
        <v>59</v>
      </c>
      <c r="Q1" s="29" t="s">
        <v>60</v>
      </c>
      <c r="R1" s="29" t="s">
        <v>61</v>
      </c>
      <c r="S1" s="29" t="s">
        <v>62</v>
      </c>
      <c r="T1" s="29" t="s">
        <v>63</v>
      </c>
      <c r="AB1" s="30" t="s">
        <v>52</v>
      </c>
      <c r="AC1" s="31" t="s">
        <v>64</v>
      </c>
    </row>
    <row r="2" ht="22.5" hidden="1" customHeight="1">
      <c r="A2" s="25"/>
      <c r="B2" s="4" t="s">
        <v>65</v>
      </c>
      <c r="C2" s="9" t="s">
        <v>66</v>
      </c>
      <c r="D2" s="32" t="s">
        <v>67</v>
      </c>
      <c r="E2" s="33" t="s">
        <v>68</v>
      </c>
      <c r="F2" s="34" t="s">
        <v>69</v>
      </c>
      <c r="G2" s="34" t="s">
        <v>70</v>
      </c>
      <c r="H2" s="86" t="s">
        <v>619</v>
      </c>
      <c r="I2" s="86" t="s">
        <v>620</v>
      </c>
      <c r="J2" s="9" t="s">
        <v>621</v>
      </c>
      <c r="K2" s="94" t="s">
        <v>622</v>
      </c>
      <c r="L2" s="9"/>
      <c r="AC2" s="31"/>
    </row>
    <row r="3" ht="22.5" hidden="1" customHeight="1">
      <c r="A3" s="25">
        <v>1.0</v>
      </c>
      <c r="B3" s="4" t="s">
        <v>65</v>
      </c>
      <c r="C3" s="9" t="s">
        <v>64</v>
      </c>
      <c r="D3" s="32" t="s">
        <v>71</v>
      </c>
      <c r="E3" s="33" t="s">
        <v>68</v>
      </c>
      <c r="F3" s="32" t="s">
        <v>72</v>
      </c>
      <c r="G3" s="35" t="s">
        <v>623</v>
      </c>
      <c r="H3" s="86" t="s">
        <v>619</v>
      </c>
      <c r="I3" s="86" t="s">
        <v>624</v>
      </c>
      <c r="J3" s="9" t="s">
        <v>625</v>
      </c>
      <c r="K3" s="95" t="s">
        <v>626</v>
      </c>
      <c r="L3" s="9" t="s">
        <v>627</v>
      </c>
      <c r="AC3" s="31" t="s">
        <v>74</v>
      </c>
    </row>
    <row r="4" ht="22.5" hidden="1" customHeight="1">
      <c r="A4" s="25">
        <f t="shared" ref="A4:A6" si="1">A3+1</f>
        <v>2</v>
      </c>
      <c r="B4" s="4" t="s">
        <v>65</v>
      </c>
      <c r="C4" s="9" t="s">
        <v>74</v>
      </c>
      <c r="D4" s="32" t="s">
        <v>75</v>
      </c>
      <c r="E4" s="33" t="s">
        <v>76</v>
      </c>
      <c r="F4" s="32" t="s">
        <v>77</v>
      </c>
      <c r="G4" s="35" t="s">
        <v>628</v>
      </c>
      <c r="H4" s="86" t="s">
        <v>619</v>
      </c>
      <c r="I4" s="86" t="s">
        <v>629</v>
      </c>
      <c r="J4" s="9" t="s">
        <v>630</v>
      </c>
      <c r="K4" s="9" t="s">
        <v>631</v>
      </c>
      <c r="L4" s="9" t="s">
        <v>632</v>
      </c>
      <c r="AC4" s="31" t="s">
        <v>79</v>
      </c>
    </row>
    <row r="5" ht="22.5" hidden="1" customHeight="1">
      <c r="A5" s="25">
        <f t="shared" si="1"/>
        <v>3</v>
      </c>
      <c r="B5" s="4" t="s">
        <v>65</v>
      </c>
      <c r="C5" s="9" t="s">
        <v>79</v>
      </c>
      <c r="D5" s="32" t="s">
        <v>80</v>
      </c>
      <c r="E5" s="33" t="s">
        <v>76</v>
      </c>
      <c r="F5" s="32" t="s">
        <v>81</v>
      </c>
      <c r="G5" s="35" t="s">
        <v>633</v>
      </c>
      <c r="H5" s="86" t="s">
        <v>634</v>
      </c>
      <c r="I5" s="86" t="s">
        <v>629</v>
      </c>
      <c r="J5" s="9" t="s">
        <v>635</v>
      </c>
      <c r="K5" s="9" t="s">
        <v>636</v>
      </c>
      <c r="L5" s="44"/>
      <c r="AC5" s="31" t="s">
        <v>83</v>
      </c>
    </row>
    <row r="6" ht="22.5" hidden="1" customHeight="1">
      <c r="A6" s="25">
        <f t="shared" si="1"/>
        <v>4</v>
      </c>
      <c r="B6" s="4" t="s">
        <v>65</v>
      </c>
      <c r="C6" s="9" t="s">
        <v>83</v>
      </c>
      <c r="D6" s="32" t="s">
        <v>84</v>
      </c>
      <c r="E6" s="33" t="s">
        <v>76</v>
      </c>
      <c r="F6" s="32" t="s">
        <v>85</v>
      </c>
      <c r="G6" s="35" t="s">
        <v>637</v>
      </c>
      <c r="H6" s="86" t="s">
        <v>619</v>
      </c>
      <c r="I6" s="86" t="s">
        <v>620</v>
      </c>
      <c r="J6" s="9" t="s">
        <v>638</v>
      </c>
      <c r="K6" s="9" t="s">
        <v>639</v>
      </c>
      <c r="L6" s="44"/>
      <c r="AC6" s="31" t="s">
        <v>87</v>
      </c>
    </row>
    <row r="7" ht="22.5" customHeight="1">
      <c r="A7" s="25"/>
      <c r="B7" s="4" t="s">
        <v>89</v>
      </c>
      <c r="C7" s="9" t="s">
        <v>90</v>
      </c>
      <c r="D7" s="32" t="s">
        <v>91</v>
      </c>
      <c r="E7" s="33" t="s">
        <v>68</v>
      </c>
      <c r="F7" s="32" t="s">
        <v>640</v>
      </c>
      <c r="G7" s="34" t="s">
        <v>93</v>
      </c>
      <c r="H7" s="86" t="s">
        <v>619</v>
      </c>
      <c r="I7" s="86" t="s">
        <v>620</v>
      </c>
      <c r="J7" s="9" t="s">
        <v>641</v>
      </c>
      <c r="K7" s="94" t="s">
        <v>642</v>
      </c>
      <c r="L7" s="9"/>
      <c r="M7" s="96"/>
      <c r="AC7" s="31"/>
    </row>
    <row r="8" ht="22.5" customHeight="1">
      <c r="A8" s="25">
        <f>A6+1</f>
        <v>5</v>
      </c>
      <c r="B8" s="4" t="s">
        <v>89</v>
      </c>
      <c r="C8" s="9" t="s">
        <v>95</v>
      </c>
      <c r="D8" s="32" t="s">
        <v>96</v>
      </c>
      <c r="E8" s="33" t="s">
        <v>68</v>
      </c>
      <c r="F8" s="32" t="s">
        <v>97</v>
      </c>
      <c r="G8" s="34" t="s">
        <v>98</v>
      </c>
      <c r="H8" s="86" t="s">
        <v>619</v>
      </c>
      <c r="I8" s="86" t="s">
        <v>624</v>
      </c>
      <c r="J8" s="9" t="s">
        <v>643</v>
      </c>
      <c r="K8" s="95" t="s">
        <v>644</v>
      </c>
      <c r="L8" s="9" t="s">
        <v>585</v>
      </c>
      <c r="M8" s="22" t="s">
        <v>645</v>
      </c>
      <c r="AC8" s="31"/>
    </row>
    <row r="9" ht="22.5" customHeight="1">
      <c r="A9" s="25">
        <f>A8+1</f>
        <v>6</v>
      </c>
      <c r="B9" s="4" t="s">
        <v>89</v>
      </c>
      <c r="C9" s="9" t="s">
        <v>99</v>
      </c>
      <c r="D9" s="32" t="s">
        <v>100</v>
      </c>
      <c r="E9" s="33" t="s">
        <v>68</v>
      </c>
      <c r="F9" s="32" t="s">
        <v>101</v>
      </c>
      <c r="G9" s="34" t="s">
        <v>102</v>
      </c>
      <c r="H9" s="86" t="s">
        <v>646</v>
      </c>
      <c r="I9" s="86" t="s">
        <v>647</v>
      </c>
      <c r="J9" s="9" t="s">
        <v>648</v>
      </c>
      <c r="K9" s="95" t="s">
        <v>649</v>
      </c>
      <c r="L9" s="9" t="s">
        <v>585</v>
      </c>
      <c r="M9" s="3" t="s">
        <v>650</v>
      </c>
      <c r="AC9" s="31"/>
    </row>
    <row r="10" ht="96.75" customHeight="1">
      <c r="A10" s="25"/>
      <c r="B10" s="4" t="s">
        <v>89</v>
      </c>
      <c r="C10" s="9" t="s">
        <v>103</v>
      </c>
      <c r="D10" s="32" t="s">
        <v>104</v>
      </c>
      <c r="E10" s="33" t="s">
        <v>68</v>
      </c>
      <c r="F10" s="34" t="s">
        <v>105</v>
      </c>
      <c r="G10" s="36"/>
      <c r="H10" s="86" t="s">
        <v>646</v>
      </c>
      <c r="I10" s="86" t="s">
        <v>647</v>
      </c>
      <c r="J10" s="95" t="s">
        <v>651</v>
      </c>
      <c r="K10" s="9" t="s">
        <v>652</v>
      </c>
      <c r="L10" s="9"/>
      <c r="M10" s="3"/>
      <c r="AC10" s="31"/>
    </row>
    <row r="11" ht="22.5" customHeight="1">
      <c r="A11" s="25">
        <f>A9+1</f>
        <v>7</v>
      </c>
      <c r="B11" s="4" t="s">
        <v>89</v>
      </c>
      <c r="C11" s="9" t="s">
        <v>106</v>
      </c>
      <c r="D11" s="32" t="s">
        <v>107</v>
      </c>
      <c r="E11" s="33" t="s">
        <v>68</v>
      </c>
      <c r="F11" s="32" t="s">
        <v>101</v>
      </c>
      <c r="G11" s="34" t="s">
        <v>108</v>
      </c>
      <c r="H11" s="86" t="s">
        <v>646</v>
      </c>
      <c r="I11" s="86" t="s">
        <v>647</v>
      </c>
      <c r="J11" s="9" t="s">
        <v>648</v>
      </c>
      <c r="K11" s="95" t="s">
        <v>653</v>
      </c>
      <c r="L11" s="9" t="s">
        <v>585</v>
      </c>
      <c r="M11" s="3" t="s">
        <v>650</v>
      </c>
      <c r="AC11" s="31"/>
    </row>
    <row r="12" ht="22.5" customHeight="1">
      <c r="A12" s="25">
        <f t="shared" ref="A12:A24" si="2">A11+1</f>
        <v>8</v>
      </c>
      <c r="B12" s="4" t="s">
        <v>89</v>
      </c>
      <c r="C12" s="9" t="s">
        <v>87</v>
      </c>
      <c r="D12" s="32" t="s">
        <v>109</v>
      </c>
      <c r="E12" s="33" t="s">
        <v>76</v>
      </c>
      <c r="F12" s="32" t="s">
        <v>110</v>
      </c>
      <c r="G12" s="35" t="s">
        <v>654</v>
      </c>
      <c r="H12" s="24"/>
      <c r="I12" s="7" t="b">
        <v>0</v>
      </c>
      <c r="AC12" s="31" t="s">
        <v>113</v>
      </c>
    </row>
    <row r="13" ht="22.5" customHeight="1">
      <c r="A13" s="25">
        <f t="shared" si="2"/>
        <v>9</v>
      </c>
      <c r="B13" s="4" t="s">
        <v>89</v>
      </c>
      <c r="C13" s="9" t="s">
        <v>113</v>
      </c>
      <c r="D13" s="32" t="s">
        <v>114</v>
      </c>
      <c r="E13" s="33" t="s">
        <v>76</v>
      </c>
      <c r="F13" s="32" t="s">
        <v>115</v>
      </c>
      <c r="G13" s="35" t="s">
        <v>655</v>
      </c>
      <c r="H13" s="24"/>
      <c r="I13" s="7" t="s">
        <v>656</v>
      </c>
      <c r="AC13" s="31" t="s">
        <v>117</v>
      </c>
    </row>
    <row r="14" ht="22.5" customHeight="1">
      <c r="A14" s="25">
        <f t="shared" si="2"/>
        <v>10</v>
      </c>
      <c r="B14" s="4" t="s">
        <v>89</v>
      </c>
      <c r="C14" s="9" t="s">
        <v>117</v>
      </c>
      <c r="D14" s="32" t="s">
        <v>118</v>
      </c>
      <c r="E14" s="33" t="s">
        <v>68</v>
      </c>
      <c r="F14" s="32" t="s">
        <v>119</v>
      </c>
      <c r="G14" s="35" t="s">
        <v>657</v>
      </c>
      <c r="H14" s="7" t="s">
        <v>646</v>
      </c>
      <c r="I14" s="7" t="s">
        <v>656</v>
      </c>
      <c r="J14" s="3" t="s">
        <v>658</v>
      </c>
      <c r="K14" s="9" t="s">
        <v>659</v>
      </c>
      <c r="AC14" s="31" t="s">
        <v>121</v>
      </c>
    </row>
    <row r="15" ht="22.5" customHeight="1">
      <c r="A15" s="25">
        <f t="shared" si="2"/>
        <v>11</v>
      </c>
      <c r="B15" s="4" t="s">
        <v>122</v>
      </c>
      <c r="C15" s="9" t="s">
        <v>121</v>
      </c>
      <c r="D15" s="32" t="s">
        <v>123</v>
      </c>
      <c r="E15" s="33" t="s">
        <v>76</v>
      </c>
      <c r="F15" s="32" t="s">
        <v>124</v>
      </c>
      <c r="G15" s="35" t="s">
        <v>660</v>
      </c>
      <c r="H15" s="97"/>
      <c r="I15" s="86" t="b">
        <v>0</v>
      </c>
      <c r="J15" s="44"/>
      <c r="K15" s="44"/>
      <c r="L15" s="44"/>
      <c r="AC15" s="31" t="s">
        <v>126</v>
      </c>
    </row>
    <row r="16" ht="22.5" customHeight="1">
      <c r="A16" s="25">
        <f t="shared" si="2"/>
        <v>12</v>
      </c>
      <c r="B16" s="4" t="s">
        <v>122</v>
      </c>
      <c r="C16" s="9" t="s">
        <v>126</v>
      </c>
      <c r="D16" s="32" t="s">
        <v>127</v>
      </c>
      <c r="E16" s="33" t="s">
        <v>76</v>
      </c>
      <c r="F16" s="32" t="s">
        <v>128</v>
      </c>
      <c r="G16" s="35" t="s">
        <v>661</v>
      </c>
      <c r="H16" s="97"/>
      <c r="I16" s="86" t="b">
        <v>0</v>
      </c>
      <c r="J16" s="44"/>
      <c r="K16" s="44"/>
      <c r="L16" s="44"/>
      <c r="AC16" s="31" t="s">
        <v>130</v>
      </c>
    </row>
    <row r="17" ht="22.5" customHeight="1">
      <c r="A17" s="25">
        <f t="shared" si="2"/>
        <v>13</v>
      </c>
      <c r="B17" s="4" t="s">
        <v>122</v>
      </c>
      <c r="C17" s="9" t="s">
        <v>130</v>
      </c>
      <c r="D17" s="32" t="s">
        <v>131</v>
      </c>
      <c r="E17" s="33" t="s">
        <v>76</v>
      </c>
      <c r="F17" s="32" t="s">
        <v>132</v>
      </c>
      <c r="G17" s="35" t="s">
        <v>662</v>
      </c>
      <c r="H17" s="97"/>
      <c r="I17" s="86" t="b">
        <v>0</v>
      </c>
      <c r="J17" s="44"/>
      <c r="K17" s="44"/>
      <c r="L17" s="44"/>
      <c r="AC17" s="31" t="s">
        <v>134</v>
      </c>
    </row>
    <row r="18" ht="22.5" customHeight="1">
      <c r="A18" s="25">
        <f t="shared" si="2"/>
        <v>14</v>
      </c>
      <c r="B18" s="4" t="s">
        <v>122</v>
      </c>
      <c r="C18" s="9" t="s">
        <v>134</v>
      </c>
      <c r="D18" s="32" t="s">
        <v>135</v>
      </c>
      <c r="E18" s="33" t="s">
        <v>76</v>
      </c>
      <c r="F18" s="32" t="s">
        <v>136</v>
      </c>
      <c r="G18" s="35" t="s">
        <v>663</v>
      </c>
      <c r="H18" s="97"/>
      <c r="I18" s="86" t="b">
        <v>0</v>
      </c>
      <c r="J18" s="44"/>
      <c r="K18" s="44"/>
      <c r="L18" s="44"/>
      <c r="AC18" s="31" t="s">
        <v>138</v>
      </c>
    </row>
    <row r="19" ht="22.5" customHeight="1">
      <c r="A19" s="25">
        <f t="shared" si="2"/>
        <v>15</v>
      </c>
      <c r="B19" s="4" t="s">
        <v>122</v>
      </c>
      <c r="C19" s="9" t="s">
        <v>138</v>
      </c>
      <c r="D19" s="32" t="s">
        <v>139</v>
      </c>
      <c r="E19" s="33" t="s">
        <v>68</v>
      </c>
      <c r="F19" s="32" t="s">
        <v>140</v>
      </c>
      <c r="G19" s="35" t="s">
        <v>664</v>
      </c>
      <c r="H19" s="86" t="s">
        <v>646</v>
      </c>
      <c r="I19" s="86" t="s">
        <v>656</v>
      </c>
      <c r="J19" s="9" t="s">
        <v>665</v>
      </c>
      <c r="K19" s="95" t="s">
        <v>666</v>
      </c>
      <c r="L19" s="9" t="s">
        <v>13</v>
      </c>
      <c r="AC19" s="31" t="s">
        <v>143</v>
      </c>
    </row>
    <row r="20" ht="22.5" customHeight="1">
      <c r="A20" s="25">
        <f t="shared" si="2"/>
        <v>16</v>
      </c>
      <c r="B20" s="4" t="s">
        <v>122</v>
      </c>
      <c r="C20" s="9" t="s">
        <v>143</v>
      </c>
      <c r="D20" s="32" t="s">
        <v>144</v>
      </c>
      <c r="E20" s="33" t="s">
        <v>76</v>
      </c>
      <c r="F20" s="32" t="s">
        <v>145</v>
      </c>
      <c r="G20" s="35" t="s">
        <v>667</v>
      </c>
      <c r="H20" s="97"/>
      <c r="I20" s="86" t="b">
        <v>0</v>
      </c>
      <c r="J20" s="44"/>
      <c r="K20" s="44"/>
      <c r="L20" s="44"/>
      <c r="AC20" s="31" t="s">
        <v>147</v>
      </c>
    </row>
    <row r="21" ht="22.5" customHeight="1">
      <c r="A21" s="25">
        <f t="shared" si="2"/>
        <v>17</v>
      </c>
      <c r="B21" s="37" t="s">
        <v>148</v>
      </c>
      <c r="C21" s="38" t="s">
        <v>147</v>
      </c>
      <c r="D21" s="39" t="s">
        <v>149</v>
      </c>
      <c r="E21" s="33" t="s">
        <v>68</v>
      </c>
      <c r="F21" s="32" t="s">
        <v>150</v>
      </c>
      <c r="G21" s="35" t="s">
        <v>668</v>
      </c>
      <c r="H21" s="86" t="s">
        <v>646</v>
      </c>
      <c r="I21" s="86" t="s">
        <v>656</v>
      </c>
      <c r="J21" s="98" t="s">
        <v>669</v>
      </c>
      <c r="K21" s="98" t="s">
        <v>669</v>
      </c>
      <c r="L21" s="9" t="s">
        <v>670</v>
      </c>
      <c r="M21" s="3"/>
      <c r="N21" s="3">
        <v>3.0</v>
      </c>
      <c r="AC21" s="31" t="s">
        <v>152</v>
      </c>
    </row>
    <row r="22" ht="22.5" customHeight="1">
      <c r="A22" s="25">
        <f t="shared" si="2"/>
        <v>18</v>
      </c>
      <c r="B22" s="4" t="s">
        <v>148</v>
      </c>
      <c r="C22" s="9" t="s">
        <v>152</v>
      </c>
      <c r="D22" s="32" t="s">
        <v>153</v>
      </c>
      <c r="E22" s="33" t="s">
        <v>68</v>
      </c>
      <c r="F22" s="32" t="s">
        <v>154</v>
      </c>
      <c r="G22" s="35" t="s">
        <v>671</v>
      </c>
      <c r="H22" s="86" t="s">
        <v>646</v>
      </c>
      <c r="I22" s="86" t="s">
        <v>656</v>
      </c>
      <c r="J22" s="9" t="s">
        <v>672</v>
      </c>
      <c r="K22" s="9" t="s">
        <v>673</v>
      </c>
      <c r="L22" s="44"/>
      <c r="AC22" s="31" t="s">
        <v>156</v>
      </c>
    </row>
    <row r="23" ht="22.5" customHeight="1">
      <c r="A23" s="25">
        <f t="shared" si="2"/>
        <v>19</v>
      </c>
      <c r="B23" s="4" t="s">
        <v>148</v>
      </c>
      <c r="C23" s="9" t="s">
        <v>156</v>
      </c>
      <c r="D23" s="32" t="s">
        <v>157</v>
      </c>
      <c r="E23" s="33" t="s">
        <v>76</v>
      </c>
      <c r="F23" s="32" t="s">
        <v>158</v>
      </c>
      <c r="G23" s="35" t="s">
        <v>674</v>
      </c>
      <c r="H23" s="99"/>
      <c r="I23" s="86" t="b">
        <v>0</v>
      </c>
      <c r="J23" s="9"/>
      <c r="K23" s="9"/>
      <c r="L23" s="9" t="s">
        <v>603</v>
      </c>
      <c r="M23" s="3"/>
      <c r="N23" s="3">
        <v>2.0</v>
      </c>
      <c r="AC23" s="31" t="s">
        <v>160</v>
      </c>
    </row>
    <row r="24" ht="22.5" customHeight="1">
      <c r="A24" s="25">
        <f t="shared" si="2"/>
        <v>20</v>
      </c>
      <c r="B24" s="4" t="s">
        <v>148</v>
      </c>
      <c r="C24" s="9" t="s">
        <v>161</v>
      </c>
      <c r="D24" s="32" t="s">
        <v>162</v>
      </c>
      <c r="E24" s="33" t="s">
        <v>68</v>
      </c>
      <c r="F24" s="32" t="s">
        <v>119</v>
      </c>
      <c r="G24" s="35" t="s">
        <v>675</v>
      </c>
      <c r="H24" s="86" t="s">
        <v>646</v>
      </c>
      <c r="I24" s="86" t="s">
        <v>656</v>
      </c>
      <c r="J24" s="3" t="s">
        <v>658</v>
      </c>
      <c r="K24" s="9" t="s">
        <v>659</v>
      </c>
      <c r="L24" s="9" t="s">
        <v>603</v>
      </c>
      <c r="M24" s="3"/>
      <c r="N24" s="3">
        <v>1.0</v>
      </c>
      <c r="AC24" s="31" t="s">
        <v>164</v>
      </c>
    </row>
    <row r="25" ht="22.5" customHeight="1">
      <c r="A25" s="25"/>
      <c r="B25" s="4"/>
      <c r="C25" s="9"/>
      <c r="D25" s="32"/>
      <c r="E25" s="100"/>
      <c r="F25" s="32"/>
      <c r="G25" s="36"/>
      <c r="H25" s="99"/>
      <c r="I25" s="99"/>
      <c r="J25" s="44"/>
      <c r="K25" s="44"/>
      <c r="L25" s="44"/>
      <c r="AC25" s="31"/>
    </row>
    <row r="26" ht="22.5" hidden="1" customHeight="1">
      <c r="A26" s="25"/>
      <c r="B26" s="4" t="s">
        <v>167</v>
      </c>
      <c r="C26" s="9" t="s">
        <v>168</v>
      </c>
      <c r="D26" s="32" t="s">
        <v>169</v>
      </c>
      <c r="E26" s="33" t="s">
        <v>68</v>
      </c>
      <c r="F26" s="32" t="s">
        <v>170</v>
      </c>
      <c r="G26" s="34" t="s">
        <v>171</v>
      </c>
      <c r="H26" s="86" t="s">
        <v>619</v>
      </c>
      <c r="I26" s="86" t="s">
        <v>620</v>
      </c>
      <c r="J26" s="9" t="s">
        <v>676</v>
      </c>
      <c r="K26" s="9" t="s">
        <v>677</v>
      </c>
      <c r="L26" s="44"/>
      <c r="AC26" s="31"/>
    </row>
    <row r="27" ht="22.5" hidden="1" customHeight="1">
      <c r="A27" s="25"/>
      <c r="B27" s="4" t="s">
        <v>167</v>
      </c>
      <c r="C27" s="9" t="s">
        <v>172</v>
      </c>
      <c r="D27" s="32" t="s">
        <v>173</v>
      </c>
      <c r="E27" s="33" t="s">
        <v>68</v>
      </c>
      <c r="F27" s="32" t="s">
        <v>174</v>
      </c>
      <c r="G27" s="34" t="s">
        <v>173</v>
      </c>
      <c r="H27" s="86" t="s">
        <v>619</v>
      </c>
      <c r="I27" s="99"/>
      <c r="J27" s="9" t="s">
        <v>678</v>
      </c>
      <c r="K27" s="9" t="s">
        <v>679</v>
      </c>
      <c r="L27" s="44"/>
      <c r="AC27" s="31"/>
    </row>
    <row r="28" ht="22.5" hidden="1" customHeight="1">
      <c r="A28" s="25"/>
      <c r="B28" s="4" t="s">
        <v>167</v>
      </c>
      <c r="C28" s="9" t="s">
        <v>172</v>
      </c>
      <c r="D28" s="32" t="s">
        <v>175</v>
      </c>
      <c r="E28" s="33" t="s">
        <v>68</v>
      </c>
      <c r="F28" s="32" t="s">
        <v>176</v>
      </c>
      <c r="G28" s="34" t="s">
        <v>175</v>
      </c>
      <c r="H28" s="86" t="s">
        <v>619</v>
      </c>
      <c r="I28" s="86" t="s">
        <v>620</v>
      </c>
      <c r="J28" s="9" t="s">
        <v>680</v>
      </c>
      <c r="K28" s="95" t="s">
        <v>681</v>
      </c>
      <c r="L28" s="44"/>
      <c r="AC28" s="31"/>
    </row>
    <row r="29" ht="22.5" hidden="1" customHeight="1">
      <c r="A29" s="25">
        <f>A24+1</f>
        <v>21</v>
      </c>
      <c r="B29" s="4" t="s">
        <v>167</v>
      </c>
      <c r="C29" s="9" t="s">
        <v>164</v>
      </c>
      <c r="D29" s="32" t="s">
        <v>177</v>
      </c>
      <c r="E29" s="33" t="s">
        <v>76</v>
      </c>
      <c r="F29" s="32" t="s">
        <v>178</v>
      </c>
      <c r="G29" s="35" t="s">
        <v>682</v>
      </c>
      <c r="H29" s="97"/>
      <c r="I29" s="86" t="b">
        <v>0</v>
      </c>
      <c r="J29" s="44"/>
      <c r="K29" s="44"/>
      <c r="L29" s="44"/>
      <c r="AC29" s="31" t="s">
        <v>168</v>
      </c>
    </row>
    <row r="30" ht="22.5" hidden="1" customHeight="1">
      <c r="A30" s="25"/>
      <c r="B30" s="4" t="s">
        <v>167</v>
      </c>
      <c r="C30" s="9" t="s">
        <v>172</v>
      </c>
      <c r="D30" s="32" t="s">
        <v>180</v>
      </c>
      <c r="E30" s="33" t="s">
        <v>68</v>
      </c>
      <c r="F30" s="32" t="s">
        <v>180</v>
      </c>
      <c r="G30" s="34" t="s">
        <v>180</v>
      </c>
      <c r="H30" s="86" t="s">
        <v>634</v>
      </c>
      <c r="I30" s="86" t="s">
        <v>624</v>
      </c>
      <c r="J30" s="9" t="s">
        <v>683</v>
      </c>
      <c r="K30" s="94" t="s">
        <v>684</v>
      </c>
      <c r="L30" s="9"/>
      <c r="AC30" s="31"/>
    </row>
    <row r="31" ht="22.5" hidden="1" customHeight="1">
      <c r="A31" s="25">
        <f>A29+1</f>
        <v>22</v>
      </c>
      <c r="B31" s="4" t="s">
        <v>167</v>
      </c>
      <c r="C31" s="9" t="s">
        <v>168</v>
      </c>
      <c r="D31" s="32" t="s">
        <v>181</v>
      </c>
      <c r="E31" s="33" t="s">
        <v>68</v>
      </c>
      <c r="F31" s="32" t="s">
        <v>182</v>
      </c>
      <c r="G31" s="35" t="s">
        <v>685</v>
      </c>
      <c r="H31" s="86" t="s">
        <v>634</v>
      </c>
      <c r="I31" s="86" t="s">
        <v>629</v>
      </c>
      <c r="J31" s="9" t="s">
        <v>686</v>
      </c>
      <c r="K31" s="94" t="s">
        <v>687</v>
      </c>
      <c r="L31" s="9"/>
      <c r="AC31" s="31" t="s">
        <v>172</v>
      </c>
    </row>
    <row r="32" ht="22.5" hidden="1" customHeight="1">
      <c r="A32" s="25">
        <f>A31+1</f>
        <v>23</v>
      </c>
      <c r="B32" s="4" t="s">
        <v>167</v>
      </c>
      <c r="C32" s="9" t="s">
        <v>172</v>
      </c>
      <c r="D32" s="32" t="s">
        <v>184</v>
      </c>
      <c r="E32" s="33" t="s">
        <v>76</v>
      </c>
      <c r="F32" s="32" t="s">
        <v>128</v>
      </c>
      <c r="G32" s="34" t="s">
        <v>688</v>
      </c>
      <c r="H32" s="99"/>
      <c r="I32" s="86" t="b">
        <v>0</v>
      </c>
      <c r="J32" s="9"/>
      <c r="K32" s="9"/>
      <c r="L32" s="9"/>
      <c r="AC32" s="31" t="s">
        <v>186</v>
      </c>
    </row>
    <row r="33" ht="22.5" customHeight="1">
      <c r="A33" s="25"/>
      <c r="B33" s="4" t="s">
        <v>193</v>
      </c>
      <c r="C33" s="9" t="s">
        <v>188</v>
      </c>
      <c r="D33" s="32" t="s">
        <v>189</v>
      </c>
      <c r="E33" s="33" t="s">
        <v>68</v>
      </c>
      <c r="F33" s="32" t="s">
        <v>190</v>
      </c>
      <c r="G33" s="34" t="s">
        <v>191</v>
      </c>
      <c r="H33" s="86" t="s">
        <v>619</v>
      </c>
      <c r="I33" s="86" t="s">
        <v>620</v>
      </c>
      <c r="J33" s="9" t="s">
        <v>689</v>
      </c>
      <c r="K33" s="101" t="s">
        <v>690</v>
      </c>
      <c r="L33" s="9"/>
      <c r="AC33" s="31"/>
    </row>
    <row r="34" ht="22.5" customHeight="1">
      <c r="A34" s="25">
        <f>A32+1</f>
        <v>24</v>
      </c>
      <c r="B34" s="4" t="s">
        <v>193</v>
      </c>
      <c r="C34" s="9" t="s">
        <v>186</v>
      </c>
      <c r="D34" s="32" t="s">
        <v>194</v>
      </c>
      <c r="E34" s="33" t="s">
        <v>76</v>
      </c>
      <c r="F34" s="32" t="s">
        <v>195</v>
      </c>
      <c r="G34" s="35" t="s">
        <v>691</v>
      </c>
      <c r="H34" s="99"/>
      <c r="I34" s="86" t="b">
        <v>0</v>
      </c>
      <c r="J34" s="9"/>
      <c r="K34" s="9"/>
      <c r="L34" s="9" t="s">
        <v>577</v>
      </c>
      <c r="AC34" s="31" t="s">
        <v>197</v>
      </c>
    </row>
    <row r="35" ht="22.5" customHeight="1">
      <c r="A35" s="25">
        <f t="shared" ref="A35:A45" si="3">A34+1</f>
        <v>25</v>
      </c>
      <c r="B35" s="4" t="s">
        <v>193</v>
      </c>
      <c r="C35" s="9" t="s">
        <v>197</v>
      </c>
      <c r="D35" s="32" t="s">
        <v>198</v>
      </c>
      <c r="E35" s="33" t="s">
        <v>76</v>
      </c>
      <c r="F35" s="32" t="s">
        <v>199</v>
      </c>
      <c r="G35" s="35" t="s">
        <v>692</v>
      </c>
      <c r="H35" s="99"/>
      <c r="I35" s="86" t="b">
        <v>0</v>
      </c>
      <c r="J35" s="9"/>
      <c r="K35" s="9"/>
      <c r="L35" s="9" t="s">
        <v>577</v>
      </c>
      <c r="AC35" s="31" t="s">
        <v>201</v>
      </c>
    </row>
    <row r="36" ht="22.5" customHeight="1">
      <c r="A36" s="25">
        <f t="shared" si="3"/>
        <v>26</v>
      </c>
      <c r="B36" s="4" t="s">
        <v>193</v>
      </c>
      <c r="C36" s="9" t="s">
        <v>201</v>
      </c>
      <c r="D36" s="32" t="s">
        <v>202</v>
      </c>
      <c r="E36" s="33" t="s">
        <v>76</v>
      </c>
      <c r="F36" s="32" t="s">
        <v>203</v>
      </c>
      <c r="G36" s="35" t="s">
        <v>693</v>
      </c>
      <c r="H36" s="99"/>
      <c r="I36" s="86" t="b">
        <v>0</v>
      </c>
      <c r="J36" s="9"/>
      <c r="K36" s="9"/>
      <c r="L36" s="9" t="s">
        <v>577</v>
      </c>
      <c r="AC36" s="31" t="s">
        <v>188</v>
      </c>
    </row>
    <row r="37" ht="22.5" customHeight="1">
      <c r="A37" s="25">
        <f t="shared" si="3"/>
        <v>27</v>
      </c>
      <c r="B37" s="4" t="s">
        <v>193</v>
      </c>
      <c r="C37" s="9" t="s">
        <v>188</v>
      </c>
      <c r="D37" s="32" t="s">
        <v>205</v>
      </c>
      <c r="E37" s="33" t="s">
        <v>76</v>
      </c>
      <c r="F37" s="32" t="s">
        <v>206</v>
      </c>
      <c r="G37" s="35" t="s">
        <v>694</v>
      </c>
      <c r="H37" s="99"/>
      <c r="I37" s="86" t="b">
        <v>0</v>
      </c>
      <c r="J37" s="9"/>
      <c r="K37" s="9"/>
      <c r="L37" s="9" t="s">
        <v>695</v>
      </c>
      <c r="AC37" s="31" t="s">
        <v>208</v>
      </c>
    </row>
    <row r="38" ht="22.5" customHeight="1">
      <c r="A38" s="25">
        <f t="shared" si="3"/>
        <v>28</v>
      </c>
      <c r="B38" s="4" t="s">
        <v>193</v>
      </c>
      <c r="C38" s="9" t="s">
        <v>209</v>
      </c>
      <c r="D38" s="32" t="s">
        <v>210</v>
      </c>
      <c r="E38" s="33" t="s">
        <v>68</v>
      </c>
      <c r="F38" s="32" t="s">
        <v>211</v>
      </c>
      <c r="G38" s="34" t="s">
        <v>212</v>
      </c>
      <c r="H38" s="86" t="s">
        <v>619</v>
      </c>
      <c r="I38" s="86" t="s">
        <v>629</v>
      </c>
      <c r="J38" s="44"/>
      <c r="K38" s="44"/>
      <c r="L38" s="9" t="s">
        <v>696</v>
      </c>
      <c r="AC38" s="31"/>
    </row>
    <row r="39" ht="22.5" customHeight="1">
      <c r="A39" s="25">
        <f t="shared" si="3"/>
        <v>29</v>
      </c>
      <c r="B39" s="4" t="s">
        <v>193</v>
      </c>
      <c r="C39" s="9" t="s">
        <v>215</v>
      </c>
      <c r="D39" s="32" t="s">
        <v>216</v>
      </c>
      <c r="E39" s="33" t="s">
        <v>68</v>
      </c>
      <c r="F39" s="32" t="s">
        <v>217</v>
      </c>
      <c r="G39" s="34" t="s">
        <v>216</v>
      </c>
      <c r="H39" s="86" t="s">
        <v>619</v>
      </c>
      <c r="I39" s="86" t="s">
        <v>629</v>
      </c>
      <c r="J39" s="44"/>
      <c r="K39" s="44"/>
      <c r="L39" s="44"/>
      <c r="AC39" s="31"/>
    </row>
    <row r="40" ht="22.5" customHeight="1">
      <c r="A40" s="25">
        <f t="shared" si="3"/>
        <v>30</v>
      </c>
      <c r="B40" s="4" t="s">
        <v>218</v>
      </c>
      <c r="C40" s="9" t="s">
        <v>208</v>
      </c>
      <c r="D40" s="32" t="s">
        <v>219</v>
      </c>
      <c r="E40" s="33" t="s">
        <v>76</v>
      </c>
      <c r="F40" s="32" t="s">
        <v>128</v>
      </c>
      <c r="G40" s="35" t="s">
        <v>697</v>
      </c>
      <c r="H40" s="97"/>
      <c r="I40" s="86" t="b">
        <v>0</v>
      </c>
      <c r="J40" s="44"/>
      <c r="K40" s="44"/>
      <c r="L40" s="44"/>
      <c r="AC40" s="31" t="s">
        <v>221</v>
      </c>
    </row>
    <row r="41" ht="22.5" customHeight="1">
      <c r="A41" s="25">
        <f t="shared" si="3"/>
        <v>31</v>
      </c>
      <c r="B41" s="4" t="s">
        <v>218</v>
      </c>
      <c r="C41" s="9" t="s">
        <v>222</v>
      </c>
      <c r="E41" s="7" t="s">
        <v>76</v>
      </c>
      <c r="H41" s="97"/>
      <c r="I41" s="86" t="b">
        <v>0</v>
      </c>
      <c r="J41" s="44"/>
      <c r="K41" s="44"/>
      <c r="L41" s="44"/>
      <c r="AC41" s="31" t="s">
        <v>223</v>
      </c>
    </row>
    <row r="42" ht="22.5" customHeight="1">
      <c r="A42" s="25">
        <f t="shared" si="3"/>
        <v>32</v>
      </c>
      <c r="B42" s="4" t="s">
        <v>218</v>
      </c>
      <c r="C42" s="9" t="s">
        <v>224</v>
      </c>
      <c r="D42" s="32" t="s">
        <v>225</v>
      </c>
      <c r="E42" s="33" t="s">
        <v>76</v>
      </c>
      <c r="F42" s="32" t="s">
        <v>226</v>
      </c>
      <c r="G42" s="35" t="s">
        <v>698</v>
      </c>
      <c r="H42" s="97"/>
      <c r="I42" s="86" t="b">
        <v>0</v>
      </c>
      <c r="J42" s="44"/>
      <c r="K42" s="44"/>
      <c r="L42" s="44"/>
      <c r="AC42" s="25" t="s">
        <v>228</v>
      </c>
    </row>
    <row r="43" ht="22.5" customHeight="1">
      <c r="A43" s="25">
        <f t="shared" si="3"/>
        <v>33</v>
      </c>
      <c r="B43" s="4" t="s">
        <v>229</v>
      </c>
      <c r="C43" s="3" t="s">
        <v>228</v>
      </c>
      <c r="D43" s="32" t="s">
        <v>230</v>
      </c>
      <c r="E43" s="33" t="s">
        <v>76</v>
      </c>
      <c r="F43" s="32" t="s">
        <v>231</v>
      </c>
      <c r="G43" s="35" t="s">
        <v>699</v>
      </c>
      <c r="H43" s="97"/>
      <c r="I43" s="86" t="b">
        <v>0</v>
      </c>
      <c r="J43" s="44"/>
      <c r="K43" s="44"/>
      <c r="L43" s="44"/>
      <c r="AC43" s="31" t="s">
        <v>233</v>
      </c>
    </row>
    <row r="44" ht="22.5" customHeight="1">
      <c r="A44" s="25">
        <f t="shared" si="3"/>
        <v>34</v>
      </c>
      <c r="B44" s="4" t="s">
        <v>229</v>
      </c>
      <c r="C44" s="9" t="s">
        <v>233</v>
      </c>
      <c r="D44" s="32" t="s">
        <v>234</v>
      </c>
      <c r="E44" s="33" t="s">
        <v>76</v>
      </c>
      <c r="F44" s="32" t="s">
        <v>235</v>
      </c>
      <c r="G44" s="35" t="s">
        <v>700</v>
      </c>
      <c r="H44" s="97"/>
      <c r="I44" s="86" t="b">
        <v>0</v>
      </c>
      <c r="J44" s="44"/>
      <c r="K44" s="44"/>
      <c r="L44" s="44"/>
      <c r="AC44" s="25" t="s">
        <v>237</v>
      </c>
    </row>
    <row r="45" ht="22.5" customHeight="1">
      <c r="A45" s="25">
        <f t="shared" si="3"/>
        <v>35</v>
      </c>
      <c r="B45" s="37" t="s">
        <v>229</v>
      </c>
      <c r="C45" s="41" t="s">
        <v>237</v>
      </c>
      <c r="D45" s="39" t="s">
        <v>71</v>
      </c>
      <c r="E45" s="42"/>
      <c r="F45" s="39" t="s">
        <v>72</v>
      </c>
      <c r="G45" s="43" t="s">
        <v>701</v>
      </c>
      <c r="H45" s="99"/>
      <c r="I45" s="86" t="b">
        <v>0</v>
      </c>
      <c r="J45" s="9"/>
      <c r="K45" s="9"/>
      <c r="L45" s="9" t="s">
        <v>13</v>
      </c>
    </row>
    <row r="46" ht="22.5" customHeight="1">
      <c r="C46" s="44"/>
      <c r="E46" s="24"/>
      <c r="H46" s="97"/>
      <c r="I46" s="86" t="b">
        <v>0</v>
      </c>
      <c r="J46" s="44"/>
      <c r="K46" s="44"/>
      <c r="L46" s="44"/>
    </row>
    <row r="47" ht="22.5" customHeight="1">
      <c r="A47" s="25">
        <v>36.0</v>
      </c>
      <c r="B47" s="4" t="s">
        <v>239</v>
      </c>
      <c r="C47" s="9" t="s">
        <v>240</v>
      </c>
      <c r="D47" s="3"/>
      <c r="E47" s="11"/>
      <c r="F47" s="3"/>
      <c r="G47" s="3"/>
      <c r="H47" s="99"/>
      <c r="I47" s="86" t="b">
        <v>0</v>
      </c>
      <c r="J47" s="9"/>
      <c r="K47" s="9"/>
      <c r="L47" s="9" t="s">
        <v>702</v>
      </c>
    </row>
    <row r="48" ht="22.5" customHeight="1">
      <c r="A48" s="25">
        <f>A47+1</f>
        <v>37</v>
      </c>
      <c r="B48" s="4" t="s">
        <v>148</v>
      </c>
      <c r="C48" s="9" t="s">
        <v>241</v>
      </c>
      <c r="D48" s="32" t="s">
        <v>242</v>
      </c>
      <c r="E48" s="33" t="s">
        <v>76</v>
      </c>
      <c r="F48" s="32" t="s">
        <v>243</v>
      </c>
      <c r="G48" s="34" t="s">
        <v>244</v>
      </c>
      <c r="H48" s="86" t="s">
        <v>619</v>
      </c>
      <c r="I48" s="86" t="s">
        <v>620</v>
      </c>
      <c r="J48" s="9"/>
      <c r="K48" s="9"/>
      <c r="L48" s="9" t="s">
        <v>670</v>
      </c>
      <c r="M48" s="3" t="s">
        <v>703</v>
      </c>
      <c r="N48" s="3">
        <v>3.0</v>
      </c>
    </row>
    <row r="49">
      <c r="C49" s="52"/>
      <c r="H49" s="52"/>
      <c r="I49" s="52"/>
      <c r="J49" s="52"/>
      <c r="K49" s="52"/>
      <c r="L49" s="52"/>
    </row>
    <row r="50">
      <c r="C50" s="52"/>
      <c r="H50" s="52"/>
      <c r="I50" s="52"/>
      <c r="J50" s="52"/>
      <c r="K50" s="52"/>
      <c r="L50" s="52"/>
    </row>
    <row r="51">
      <c r="C51" s="52"/>
      <c r="H51" s="52"/>
      <c r="I51" s="52"/>
      <c r="J51" s="52"/>
      <c r="K51" s="52"/>
      <c r="L51" s="52"/>
    </row>
    <row r="52">
      <c r="C52" s="52"/>
      <c r="H52" s="52"/>
      <c r="I52" s="52"/>
      <c r="J52" s="52"/>
      <c r="K52" s="52"/>
      <c r="L52" s="52"/>
    </row>
    <row r="53">
      <c r="C53" s="52"/>
      <c r="H53" s="52"/>
      <c r="I53" s="52"/>
      <c r="J53" s="52"/>
      <c r="K53" s="52"/>
      <c r="L53" s="52"/>
    </row>
    <row r="54">
      <c r="C54" s="52"/>
      <c r="H54" s="52"/>
      <c r="I54" s="52"/>
      <c r="J54" s="52"/>
      <c r="K54" s="52"/>
      <c r="L54" s="52"/>
    </row>
    <row r="55">
      <c r="C55" s="52"/>
      <c r="H55" s="52"/>
      <c r="I55" s="52"/>
      <c r="J55" s="52"/>
      <c r="K55" s="52"/>
      <c r="L55" s="52"/>
    </row>
    <row r="56">
      <c r="C56" s="52"/>
      <c r="H56" s="52"/>
      <c r="I56" s="52"/>
      <c r="J56" s="52"/>
      <c r="K56" s="52"/>
      <c r="L56" s="52"/>
    </row>
    <row r="57">
      <c r="C57" s="52"/>
      <c r="H57" s="52"/>
      <c r="I57" s="52"/>
      <c r="J57" s="52"/>
      <c r="K57" s="52"/>
      <c r="L57" s="52"/>
    </row>
    <row r="58">
      <c r="C58" s="52"/>
      <c r="H58" s="52"/>
      <c r="I58" s="52"/>
      <c r="J58" s="52"/>
      <c r="K58" s="52"/>
      <c r="L58" s="52"/>
    </row>
    <row r="59">
      <c r="C59" s="52"/>
      <c r="H59" s="52"/>
      <c r="I59" s="52"/>
      <c r="J59" s="52"/>
      <c r="K59" s="52"/>
      <c r="L59" s="52"/>
    </row>
    <row r="60">
      <c r="C60" s="52"/>
      <c r="H60" s="52"/>
      <c r="I60" s="52"/>
      <c r="J60" s="52"/>
      <c r="K60" s="52"/>
      <c r="L60" s="52"/>
    </row>
    <row r="61">
      <c r="C61" s="52"/>
      <c r="H61" s="52"/>
      <c r="I61" s="52"/>
      <c r="J61" s="52"/>
      <c r="K61" s="52"/>
      <c r="L61" s="52"/>
    </row>
    <row r="62">
      <c r="C62" s="52"/>
      <c r="H62" s="52"/>
      <c r="I62" s="52"/>
      <c r="J62" s="52"/>
      <c r="K62" s="52"/>
      <c r="L62" s="52"/>
    </row>
    <row r="63">
      <c r="C63" s="52"/>
      <c r="H63" s="52"/>
      <c r="I63" s="52"/>
      <c r="J63" s="52"/>
      <c r="K63" s="52"/>
      <c r="L63" s="52"/>
    </row>
    <row r="64">
      <c r="C64" s="52"/>
      <c r="H64" s="52"/>
      <c r="I64" s="52"/>
      <c r="J64" s="52"/>
      <c r="K64" s="52"/>
      <c r="L64" s="52"/>
    </row>
    <row r="65">
      <c r="C65" s="52"/>
      <c r="H65" s="52"/>
      <c r="I65" s="52"/>
      <c r="J65" s="52"/>
      <c r="K65" s="52"/>
      <c r="L65" s="52"/>
    </row>
    <row r="66">
      <c r="C66" s="52"/>
      <c r="H66" s="52"/>
      <c r="I66" s="52"/>
      <c r="J66" s="52"/>
      <c r="K66" s="52"/>
      <c r="L66" s="52"/>
    </row>
    <row r="67">
      <c r="C67" s="52"/>
      <c r="H67" s="52"/>
      <c r="I67" s="52"/>
      <c r="J67" s="52"/>
      <c r="K67" s="52"/>
      <c r="L67" s="52"/>
    </row>
    <row r="68">
      <c r="C68" s="52"/>
      <c r="H68" s="52"/>
      <c r="I68" s="52"/>
      <c r="J68" s="52"/>
      <c r="K68" s="52"/>
      <c r="L68" s="52"/>
    </row>
    <row r="69">
      <c r="C69" s="52"/>
      <c r="H69" s="52"/>
      <c r="I69" s="52"/>
      <c r="J69" s="52"/>
      <c r="K69" s="52"/>
      <c r="L69" s="52"/>
    </row>
    <row r="70">
      <c r="C70" s="52"/>
      <c r="H70" s="52"/>
      <c r="I70" s="52"/>
      <c r="J70" s="52"/>
      <c r="K70" s="52"/>
      <c r="L70" s="52"/>
    </row>
    <row r="71">
      <c r="C71" s="52"/>
      <c r="H71" s="52"/>
      <c r="I71" s="52"/>
      <c r="J71" s="52"/>
      <c r="K71" s="52"/>
      <c r="L71" s="52"/>
    </row>
    <row r="72">
      <c r="C72" s="52"/>
      <c r="H72" s="52"/>
      <c r="I72" s="52"/>
      <c r="J72" s="52"/>
      <c r="K72" s="52"/>
      <c r="L72" s="52"/>
    </row>
    <row r="73">
      <c r="C73" s="52"/>
      <c r="H73" s="52"/>
      <c r="I73" s="52"/>
      <c r="J73" s="52"/>
      <c r="K73" s="52"/>
      <c r="L73" s="52"/>
    </row>
    <row r="74">
      <c r="C74" s="52"/>
      <c r="H74" s="52"/>
      <c r="I74" s="52"/>
      <c r="J74" s="52"/>
      <c r="K74" s="52"/>
      <c r="L74" s="52"/>
    </row>
    <row r="75">
      <c r="C75" s="52"/>
      <c r="H75" s="52"/>
      <c r="I75" s="52"/>
      <c r="J75" s="52"/>
      <c r="K75" s="52"/>
      <c r="L75" s="52"/>
    </row>
    <row r="76">
      <c r="C76" s="52"/>
      <c r="H76" s="52"/>
      <c r="I76" s="52"/>
      <c r="J76" s="52"/>
      <c r="K76" s="52"/>
      <c r="L76" s="52"/>
    </row>
    <row r="77">
      <c r="C77" s="52"/>
      <c r="H77" s="52"/>
      <c r="I77" s="52"/>
      <c r="J77" s="52"/>
      <c r="K77" s="52"/>
      <c r="L77" s="52"/>
    </row>
    <row r="78">
      <c r="C78" s="52"/>
      <c r="H78" s="52"/>
      <c r="I78" s="52"/>
      <c r="J78" s="52"/>
      <c r="K78" s="52"/>
      <c r="L78" s="52"/>
    </row>
    <row r="79">
      <c r="C79" s="52"/>
      <c r="H79" s="52"/>
      <c r="I79" s="52"/>
      <c r="J79" s="52"/>
      <c r="K79" s="52"/>
      <c r="L79" s="52"/>
    </row>
    <row r="80">
      <c r="C80" s="52"/>
      <c r="H80" s="52"/>
      <c r="I80" s="52"/>
      <c r="J80" s="52"/>
      <c r="K80" s="52"/>
      <c r="L80" s="52"/>
    </row>
    <row r="81">
      <c r="C81" s="52"/>
      <c r="H81" s="52"/>
      <c r="I81" s="52"/>
      <c r="J81" s="52"/>
      <c r="K81" s="52"/>
      <c r="L81" s="52"/>
    </row>
    <row r="82">
      <c r="C82" s="52"/>
      <c r="H82" s="52"/>
      <c r="I82" s="52"/>
      <c r="J82" s="52"/>
      <c r="K82" s="52"/>
      <c r="L82" s="52"/>
    </row>
    <row r="83">
      <c r="C83" s="52"/>
      <c r="H83" s="52"/>
      <c r="I83" s="52"/>
      <c r="J83" s="52"/>
      <c r="K83" s="52"/>
      <c r="L83" s="52"/>
    </row>
    <row r="84">
      <c r="C84" s="52"/>
      <c r="H84" s="52"/>
      <c r="I84" s="52"/>
      <c r="J84" s="52"/>
      <c r="K84" s="52"/>
      <c r="L84" s="52"/>
    </row>
    <row r="85">
      <c r="C85" s="52"/>
      <c r="H85" s="52"/>
      <c r="I85" s="52"/>
      <c r="J85" s="52"/>
      <c r="K85" s="52"/>
      <c r="L85" s="52"/>
    </row>
    <row r="86">
      <c r="C86" s="52"/>
      <c r="H86" s="52"/>
      <c r="I86" s="52"/>
      <c r="J86" s="52"/>
      <c r="K86" s="52"/>
      <c r="L86" s="52"/>
    </row>
    <row r="87">
      <c r="C87" s="52"/>
      <c r="H87" s="52"/>
      <c r="I87" s="52"/>
      <c r="J87" s="52"/>
      <c r="K87" s="52"/>
      <c r="L87" s="52"/>
    </row>
    <row r="88">
      <c r="C88" s="52"/>
      <c r="H88" s="52"/>
      <c r="I88" s="52"/>
      <c r="J88" s="52"/>
      <c r="K88" s="52"/>
      <c r="L88" s="52"/>
    </row>
    <row r="89">
      <c r="C89" s="52"/>
      <c r="H89" s="52"/>
      <c r="I89" s="52"/>
      <c r="J89" s="52"/>
      <c r="K89" s="52"/>
      <c r="L89" s="52"/>
    </row>
    <row r="90">
      <c r="C90" s="52"/>
      <c r="H90" s="52"/>
      <c r="I90" s="52"/>
      <c r="J90" s="52"/>
      <c r="K90" s="52"/>
      <c r="L90" s="52"/>
    </row>
    <row r="91">
      <c r="C91" s="52"/>
      <c r="H91" s="52"/>
      <c r="I91" s="52"/>
      <c r="J91" s="52"/>
      <c r="K91" s="52"/>
      <c r="L91" s="52"/>
    </row>
    <row r="92">
      <c r="C92" s="52"/>
      <c r="H92" s="52"/>
      <c r="I92" s="52"/>
      <c r="J92" s="52"/>
      <c r="K92" s="52"/>
      <c r="L92" s="52"/>
    </row>
    <row r="93">
      <c r="C93" s="52"/>
      <c r="H93" s="52"/>
      <c r="I93" s="52"/>
      <c r="J93" s="52"/>
      <c r="K93" s="52"/>
      <c r="L93" s="52"/>
    </row>
    <row r="94">
      <c r="C94" s="52"/>
      <c r="H94" s="52"/>
      <c r="I94" s="52"/>
      <c r="J94" s="52"/>
      <c r="K94" s="52"/>
      <c r="L94" s="52"/>
    </row>
    <row r="95">
      <c r="C95" s="52"/>
      <c r="H95" s="52"/>
      <c r="I95" s="52"/>
      <c r="J95" s="52"/>
      <c r="K95" s="52"/>
      <c r="L95" s="52"/>
    </row>
    <row r="96">
      <c r="C96" s="52"/>
      <c r="H96" s="52"/>
      <c r="I96" s="52"/>
      <c r="J96" s="52"/>
      <c r="K96" s="52"/>
      <c r="L96" s="52"/>
    </row>
    <row r="97">
      <c r="C97" s="52"/>
      <c r="H97" s="52"/>
      <c r="I97" s="52"/>
      <c r="J97" s="52"/>
      <c r="K97" s="52"/>
      <c r="L97" s="52"/>
    </row>
    <row r="98">
      <c r="C98" s="52"/>
      <c r="H98" s="52"/>
      <c r="I98" s="52"/>
      <c r="J98" s="52"/>
      <c r="K98" s="52"/>
      <c r="L98" s="52"/>
    </row>
    <row r="99">
      <c r="C99" s="52"/>
      <c r="H99" s="52"/>
      <c r="I99" s="52"/>
      <c r="J99" s="52"/>
      <c r="K99" s="52"/>
      <c r="L99" s="52"/>
    </row>
    <row r="100">
      <c r="C100" s="52"/>
      <c r="H100" s="52"/>
      <c r="I100" s="52"/>
      <c r="J100" s="52"/>
      <c r="K100" s="52"/>
      <c r="L100" s="52"/>
    </row>
    <row r="101">
      <c r="C101" s="52"/>
      <c r="H101" s="52"/>
      <c r="I101" s="52"/>
      <c r="J101" s="52"/>
      <c r="K101" s="52"/>
      <c r="L101" s="52"/>
    </row>
    <row r="102">
      <c r="C102" s="52"/>
      <c r="H102" s="52"/>
      <c r="I102" s="52"/>
      <c r="J102" s="52"/>
      <c r="K102" s="52"/>
      <c r="L102" s="52"/>
    </row>
    <row r="103">
      <c r="C103" s="52"/>
      <c r="H103" s="52"/>
      <c r="I103" s="52"/>
      <c r="J103" s="52"/>
      <c r="K103" s="52"/>
      <c r="L103" s="52"/>
    </row>
    <row r="104">
      <c r="C104" s="52"/>
      <c r="H104" s="52"/>
      <c r="I104" s="52"/>
      <c r="J104" s="52"/>
      <c r="K104" s="52"/>
      <c r="L104" s="52"/>
    </row>
    <row r="105">
      <c r="C105" s="52"/>
      <c r="H105" s="52"/>
      <c r="I105" s="52"/>
      <c r="J105" s="52"/>
      <c r="K105" s="52"/>
      <c r="L105" s="52"/>
    </row>
    <row r="106">
      <c r="C106" s="52"/>
      <c r="H106" s="52"/>
      <c r="I106" s="52"/>
      <c r="J106" s="52"/>
      <c r="K106" s="52"/>
      <c r="L106" s="52"/>
    </row>
    <row r="107">
      <c r="C107" s="52"/>
      <c r="H107" s="52"/>
      <c r="I107" s="52"/>
      <c r="J107" s="52"/>
      <c r="K107" s="52"/>
      <c r="L107" s="52"/>
    </row>
    <row r="108">
      <c r="C108" s="52"/>
      <c r="H108" s="52"/>
      <c r="I108" s="52"/>
      <c r="J108" s="52"/>
      <c r="K108" s="52"/>
      <c r="L108" s="52"/>
    </row>
    <row r="109">
      <c r="C109" s="52"/>
      <c r="H109" s="52"/>
      <c r="I109" s="52"/>
      <c r="J109" s="52"/>
      <c r="K109" s="52"/>
      <c r="L109" s="52"/>
    </row>
    <row r="110">
      <c r="C110" s="52"/>
      <c r="H110" s="52"/>
      <c r="I110" s="52"/>
      <c r="J110" s="52"/>
      <c r="K110" s="52"/>
      <c r="L110" s="52"/>
    </row>
    <row r="111">
      <c r="C111" s="52"/>
      <c r="H111" s="52"/>
      <c r="I111" s="52"/>
      <c r="J111" s="52"/>
      <c r="K111" s="52"/>
      <c r="L111" s="52"/>
    </row>
    <row r="112">
      <c r="C112" s="52"/>
      <c r="H112" s="52"/>
      <c r="I112" s="52"/>
      <c r="J112" s="52"/>
      <c r="K112" s="52"/>
      <c r="L112" s="52"/>
    </row>
    <row r="113">
      <c r="C113" s="52"/>
      <c r="H113" s="52"/>
      <c r="I113" s="52"/>
      <c r="J113" s="52"/>
      <c r="K113" s="52"/>
      <c r="L113" s="52"/>
    </row>
    <row r="114">
      <c r="C114" s="52"/>
      <c r="H114" s="52"/>
      <c r="I114" s="52"/>
      <c r="J114" s="52"/>
      <c r="K114" s="52"/>
      <c r="L114" s="52"/>
    </row>
    <row r="115">
      <c r="C115" s="52"/>
      <c r="H115" s="52"/>
      <c r="I115" s="52"/>
      <c r="J115" s="52"/>
      <c r="K115" s="52"/>
      <c r="L115" s="52"/>
    </row>
    <row r="116">
      <c r="C116" s="52"/>
      <c r="H116" s="52"/>
      <c r="I116" s="52"/>
      <c r="J116" s="52"/>
      <c r="K116" s="52"/>
      <c r="L116" s="52"/>
    </row>
    <row r="117">
      <c r="C117" s="52"/>
      <c r="H117" s="52"/>
      <c r="I117" s="52"/>
      <c r="J117" s="52"/>
      <c r="K117" s="52"/>
      <c r="L117" s="52"/>
    </row>
    <row r="118">
      <c r="C118" s="52"/>
      <c r="H118" s="52"/>
      <c r="I118" s="52"/>
      <c r="J118" s="52"/>
      <c r="K118" s="52"/>
      <c r="L118" s="52"/>
    </row>
    <row r="119">
      <c r="C119" s="52"/>
      <c r="H119" s="52"/>
      <c r="I119" s="52"/>
      <c r="J119" s="52"/>
      <c r="K119" s="52"/>
      <c r="L119" s="52"/>
    </row>
    <row r="120">
      <c r="C120" s="52"/>
      <c r="H120" s="52"/>
      <c r="I120" s="52"/>
      <c r="J120" s="52"/>
      <c r="K120" s="52"/>
      <c r="L120" s="52"/>
    </row>
    <row r="121">
      <c r="C121" s="52"/>
      <c r="H121" s="52"/>
      <c r="I121" s="52"/>
      <c r="J121" s="52"/>
      <c r="K121" s="52"/>
      <c r="L121" s="52"/>
    </row>
    <row r="122">
      <c r="C122" s="52"/>
      <c r="H122" s="52"/>
      <c r="I122" s="52"/>
      <c r="J122" s="52"/>
      <c r="K122" s="52"/>
      <c r="L122" s="52"/>
    </row>
    <row r="123">
      <c r="C123" s="52"/>
      <c r="H123" s="52"/>
      <c r="I123" s="52"/>
      <c r="J123" s="52"/>
      <c r="K123" s="52"/>
      <c r="L123" s="52"/>
    </row>
    <row r="124">
      <c r="C124" s="52"/>
      <c r="H124" s="52"/>
      <c r="I124" s="52"/>
      <c r="J124" s="52"/>
      <c r="K124" s="52"/>
      <c r="L124" s="52"/>
    </row>
    <row r="125">
      <c r="C125" s="52"/>
      <c r="H125" s="52"/>
      <c r="I125" s="52"/>
      <c r="J125" s="52"/>
      <c r="K125" s="52"/>
      <c r="L125" s="52"/>
    </row>
    <row r="126">
      <c r="C126" s="52"/>
      <c r="H126" s="52"/>
      <c r="I126" s="52"/>
      <c r="J126" s="52"/>
      <c r="K126" s="52"/>
      <c r="L126" s="52"/>
    </row>
    <row r="127">
      <c r="C127" s="52"/>
      <c r="H127" s="52"/>
      <c r="I127" s="52"/>
      <c r="J127" s="52"/>
      <c r="K127" s="52"/>
      <c r="L127" s="52"/>
    </row>
    <row r="128">
      <c r="C128" s="52"/>
      <c r="H128" s="52"/>
      <c r="I128" s="52"/>
      <c r="J128" s="52"/>
      <c r="K128" s="52"/>
      <c r="L128" s="52"/>
    </row>
    <row r="129">
      <c r="C129" s="52"/>
      <c r="H129" s="52"/>
      <c r="I129" s="52"/>
      <c r="J129" s="52"/>
      <c r="K129" s="52"/>
      <c r="L129" s="52"/>
    </row>
    <row r="130">
      <c r="C130" s="52"/>
      <c r="H130" s="52"/>
      <c r="I130" s="52"/>
      <c r="J130" s="52"/>
      <c r="K130" s="52"/>
      <c r="L130" s="52"/>
    </row>
    <row r="131">
      <c r="C131" s="52"/>
      <c r="H131" s="52"/>
      <c r="I131" s="52"/>
      <c r="J131" s="52"/>
      <c r="K131" s="52"/>
      <c r="L131" s="52"/>
    </row>
    <row r="132">
      <c r="C132" s="52"/>
      <c r="H132" s="52"/>
      <c r="I132" s="52"/>
      <c r="J132" s="52"/>
      <c r="K132" s="52"/>
      <c r="L132" s="52"/>
    </row>
    <row r="133">
      <c r="C133" s="52"/>
      <c r="H133" s="52"/>
      <c r="I133" s="52"/>
      <c r="J133" s="52"/>
      <c r="K133" s="52"/>
      <c r="L133" s="52"/>
    </row>
    <row r="134">
      <c r="C134" s="52"/>
      <c r="H134" s="52"/>
      <c r="I134" s="52"/>
      <c r="J134" s="52"/>
      <c r="K134" s="52"/>
      <c r="L134" s="52"/>
    </row>
    <row r="135">
      <c r="C135" s="52"/>
      <c r="H135" s="52"/>
      <c r="I135" s="52"/>
      <c r="J135" s="52"/>
      <c r="K135" s="52"/>
      <c r="L135" s="52"/>
    </row>
    <row r="136">
      <c r="C136" s="52"/>
      <c r="H136" s="52"/>
      <c r="I136" s="52"/>
      <c r="J136" s="52"/>
      <c r="K136" s="52"/>
      <c r="L136" s="52"/>
    </row>
    <row r="137">
      <c r="C137" s="52"/>
      <c r="H137" s="52"/>
      <c r="I137" s="52"/>
      <c r="J137" s="52"/>
      <c r="K137" s="52"/>
      <c r="L137" s="52"/>
    </row>
    <row r="138">
      <c r="C138" s="52"/>
      <c r="H138" s="52"/>
      <c r="I138" s="52"/>
      <c r="J138" s="52"/>
      <c r="K138" s="52"/>
      <c r="L138" s="52"/>
    </row>
    <row r="139">
      <c r="C139" s="52"/>
      <c r="H139" s="52"/>
      <c r="I139" s="52"/>
      <c r="J139" s="52"/>
      <c r="K139" s="52"/>
      <c r="L139" s="52"/>
    </row>
    <row r="140">
      <c r="C140" s="52"/>
      <c r="H140" s="52"/>
      <c r="I140" s="52"/>
      <c r="J140" s="52"/>
      <c r="K140" s="52"/>
      <c r="L140" s="52"/>
    </row>
    <row r="141">
      <c r="C141" s="52"/>
      <c r="H141" s="52"/>
      <c r="I141" s="52"/>
      <c r="J141" s="52"/>
      <c r="K141" s="52"/>
      <c r="L141" s="52"/>
    </row>
    <row r="142">
      <c r="C142" s="52"/>
      <c r="H142" s="52"/>
      <c r="I142" s="52"/>
      <c r="J142" s="52"/>
      <c r="K142" s="52"/>
      <c r="L142" s="52"/>
    </row>
    <row r="143">
      <c r="C143" s="52"/>
      <c r="H143" s="52"/>
      <c r="I143" s="52"/>
      <c r="J143" s="52"/>
      <c r="K143" s="52"/>
      <c r="L143" s="52"/>
    </row>
    <row r="144">
      <c r="C144" s="52"/>
      <c r="H144" s="52"/>
      <c r="I144" s="52"/>
      <c r="J144" s="52"/>
      <c r="K144" s="52"/>
      <c r="L144" s="52"/>
    </row>
    <row r="145">
      <c r="C145" s="52"/>
      <c r="H145" s="52"/>
      <c r="I145" s="52"/>
      <c r="J145" s="52"/>
      <c r="K145" s="52"/>
      <c r="L145" s="52"/>
    </row>
    <row r="146">
      <c r="C146" s="52"/>
      <c r="H146" s="52"/>
      <c r="I146" s="52"/>
      <c r="J146" s="52"/>
      <c r="K146" s="52"/>
      <c r="L146" s="52"/>
    </row>
    <row r="147">
      <c r="C147" s="52"/>
      <c r="H147" s="52"/>
      <c r="I147" s="52"/>
      <c r="J147" s="52"/>
      <c r="K147" s="52"/>
      <c r="L147" s="52"/>
    </row>
    <row r="148">
      <c r="C148" s="52"/>
      <c r="H148" s="52"/>
      <c r="I148" s="52"/>
      <c r="J148" s="52"/>
      <c r="K148" s="52"/>
      <c r="L148" s="52"/>
    </row>
    <row r="149">
      <c r="C149" s="52"/>
      <c r="H149" s="52"/>
      <c r="I149" s="52"/>
      <c r="J149" s="52"/>
      <c r="K149" s="52"/>
      <c r="L149" s="52"/>
    </row>
    <row r="150">
      <c r="C150" s="52"/>
      <c r="H150" s="52"/>
      <c r="I150" s="52"/>
      <c r="J150" s="52"/>
      <c r="K150" s="52"/>
      <c r="L150" s="52"/>
    </row>
    <row r="151">
      <c r="C151" s="52"/>
      <c r="H151" s="52"/>
      <c r="I151" s="52"/>
      <c r="J151" s="52"/>
      <c r="K151" s="52"/>
      <c r="L151" s="52"/>
    </row>
    <row r="152">
      <c r="C152" s="52"/>
      <c r="H152" s="52"/>
      <c r="I152" s="52"/>
      <c r="J152" s="52"/>
      <c r="K152" s="52"/>
      <c r="L152" s="52"/>
    </row>
    <row r="153">
      <c r="C153" s="52"/>
      <c r="H153" s="52"/>
      <c r="I153" s="52"/>
      <c r="J153" s="52"/>
      <c r="K153" s="52"/>
      <c r="L153" s="52"/>
    </row>
    <row r="154">
      <c r="C154" s="52"/>
      <c r="H154" s="52"/>
      <c r="I154" s="52"/>
      <c r="J154" s="52"/>
      <c r="K154" s="52"/>
      <c r="L154" s="52"/>
    </row>
    <row r="155">
      <c r="C155" s="52"/>
      <c r="H155" s="52"/>
      <c r="I155" s="52"/>
      <c r="J155" s="52"/>
      <c r="K155" s="52"/>
      <c r="L155" s="52"/>
    </row>
    <row r="156">
      <c r="C156" s="52"/>
      <c r="H156" s="52"/>
      <c r="I156" s="52"/>
      <c r="J156" s="52"/>
      <c r="K156" s="52"/>
      <c r="L156" s="52"/>
    </row>
    <row r="157">
      <c r="C157" s="52"/>
      <c r="H157" s="52"/>
      <c r="I157" s="52"/>
      <c r="J157" s="52"/>
      <c r="K157" s="52"/>
      <c r="L157" s="52"/>
    </row>
    <row r="158">
      <c r="C158" s="52"/>
      <c r="H158" s="52"/>
      <c r="I158" s="52"/>
      <c r="J158" s="52"/>
      <c r="K158" s="52"/>
      <c r="L158" s="52"/>
    </row>
    <row r="159">
      <c r="C159" s="52"/>
      <c r="H159" s="52"/>
      <c r="I159" s="52"/>
      <c r="J159" s="52"/>
      <c r="K159" s="52"/>
      <c r="L159" s="52"/>
    </row>
    <row r="160">
      <c r="C160" s="52"/>
      <c r="H160" s="52"/>
      <c r="I160" s="52"/>
      <c r="J160" s="52"/>
      <c r="K160" s="52"/>
      <c r="L160" s="52"/>
    </row>
    <row r="161">
      <c r="C161" s="52"/>
      <c r="H161" s="52"/>
      <c r="I161" s="52"/>
      <c r="J161" s="52"/>
      <c r="K161" s="52"/>
      <c r="L161" s="52"/>
    </row>
    <row r="162">
      <c r="C162" s="52"/>
      <c r="H162" s="52"/>
      <c r="I162" s="52"/>
      <c r="J162" s="52"/>
      <c r="K162" s="52"/>
      <c r="L162" s="52"/>
    </row>
    <row r="163">
      <c r="C163" s="52"/>
      <c r="H163" s="52"/>
      <c r="I163" s="52"/>
      <c r="J163" s="52"/>
      <c r="K163" s="52"/>
      <c r="L163" s="52"/>
    </row>
    <row r="164">
      <c r="C164" s="52"/>
      <c r="H164" s="52"/>
      <c r="I164" s="52"/>
      <c r="J164" s="52"/>
      <c r="K164" s="52"/>
      <c r="L164" s="52"/>
    </row>
    <row r="165">
      <c r="C165" s="52"/>
      <c r="H165" s="52"/>
      <c r="I165" s="52"/>
      <c r="J165" s="52"/>
      <c r="K165" s="52"/>
      <c r="L165" s="52"/>
    </row>
    <row r="166">
      <c r="C166" s="52"/>
      <c r="H166" s="52"/>
      <c r="I166" s="52"/>
      <c r="J166" s="52"/>
      <c r="K166" s="52"/>
      <c r="L166" s="52"/>
    </row>
    <row r="167">
      <c r="C167" s="52"/>
      <c r="H167" s="52"/>
      <c r="I167" s="52"/>
      <c r="J167" s="52"/>
      <c r="K167" s="52"/>
      <c r="L167" s="52"/>
    </row>
    <row r="168">
      <c r="C168" s="52"/>
      <c r="H168" s="52"/>
      <c r="I168" s="52"/>
      <c r="J168" s="52"/>
      <c r="K168" s="52"/>
      <c r="L168" s="52"/>
    </row>
    <row r="169">
      <c r="C169" s="52"/>
      <c r="H169" s="52"/>
      <c r="I169" s="52"/>
      <c r="J169" s="52"/>
      <c r="K169" s="52"/>
      <c r="L169" s="52"/>
    </row>
    <row r="170">
      <c r="C170" s="52"/>
      <c r="H170" s="52"/>
      <c r="I170" s="52"/>
      <c r="J170" s="52"/>
      <c r="K170" s="52"/>
      <c r="L170" s="52"/>
    </row>
    <row r="171">
      <c r="C171" s="52"/>
      <c r="H171" s="52"/>
      <c r="I171" s="52"/>
      <c r="J171" s="52"/>
      <c r="K171" s="52"/>
      <c r="L171" s="52"/>
    </row>
    <row r="172">
      <c r="C172" s="52"/>
      <c r="H172" s="52"/>
      <c r="I172" s="52"/>
      <c r="J172" s="52"/>
      <c r="K172" s="52"/>
      <c r="L172" s="52"/>
    </row>
    <row r="173">
      <c r="C173" s="52"/>
      <c r="H173" s="52"/>
      <c r="I173" s="52"/>
      <c r="J173" s="52"/>
      <c r="K173" s="52"/>
      <c r="L173" s="52"/>
    </row>
    <row r="174">
      <c r="C174" s="52"/>
      <c r="H174" s="52"/>
      <c r="I174" s="52"/>
      <c r="J174" s="52"/>
      <c r="K174" s="52"/>
      <c r="L174" s="52"/>
    </row>
    <row r="175">
      <c r="C175" s="52"/>
      <c r="H175" s="52"/>
      <c r="I175" s="52"/>
      <c r="J175" s="52"/>
      <c r="K175" s="52"/>
      <c r="L175" s="52"/>
    </row>
    <row r="176">
      <c r="C176" s="52"/>
      <c r="H176" s="52"/>
      <c r="I176" s="52"/>
      <c r="J176" s="52"/>
      <c r="K176" s="52"/>
      <c r="L176" s="52"/>
    </row>
    <row r="177">
      <c r="C177" s="52"/>
      <c r="H177" s="52"/>
      <c r="I177" s="52"/>
      <c r="J177" s="52"/>
      <c r="K177" s="52"/>
      <c r="L177" s="52"/>
    </row>
    <row r="178">
      <c r="C178" s="52"/>
      <c r="H178" s="52"/>
      <c r="I178" s="52"/>
      <c r="J178" s="52"/>
      <c r="K178" s="52"/>
      <c r="L178" s="52"/>
    </row>
    <row r="179">
      <c r="C179" s="52"/>
      <c r="H179" s="52"/>
      <c r="I179" s="52"/>
      <c r="J179" s="52"/>
      <c r="K179" s="52"/>
      <c r="L179" s="52"/>
    </row>
    <row r="180">
      <c r="C180" s="52"/>
      <c r="H180" s="52"/>
      <c r="I180" s="52"/>
      <c r="J180" s="52"/>
      <c r="K180" s="52"/>
      <c r="L180" s="52"/>
    </row>
    <row r="181">
      <c r="C181" s="52"/>
      <c r="H181" s="52"/>
      <c r="I181" s="52"/>
      <c r="J181" s="52"/>
      <c r="K181" s="52"/>
      <c r="L181" s="52"/>
    </row>
    <row r="182">
      <c r="C182" s="52"/>
      <c r="H182" s="52"/>
      <c r="I182" s="52"/>
      <c r="J182" s="52"/>
      <c r="K182" s="52"/>
      <c r="L182" s="52"/>
    </row>
    <row r="183">
      <c r="C183" s="52"/>
      <c r="H183" s="52"/>
      <c r="I183" s="52"/>
      <c r="J183" s="52"/>
      <c r="K183" s="52"/>
      <c r="L183" s="52"/>
    </row>
    <row r="184">
      <c r="C184" s="52"/>
      <c r="H184" s="52"/>
      <c r="I184" s="52"/>
      <c r="J184" s="52"/>
      <c r="K184" s="52"/>
      <c r="L184" s="52"/>
    </row>
    <row r="185">
      <c r="C185" s="52"/>
      <c r="H185" s="52"/>
      <c r="I185" s="52"/>
      <c r="J185" s="52"/>
      <c r="K185" s="52"/>
      <c r="L185" s="52"/>
    </row>
    <row r="186">
      <c r="C186" s="52"/>
      <c r="H186" s="52"/>
      <c r="I186" s="52"/>
      <c r="J186" s="52"/>
      <c r="K186" s="52"/>
      <c r="L186" s="52"/>
    </row>
    <row r="187">
      <c r="C187" s="52"/>
      <c r="H187" s="52"/>
      <c r="I187" s="52"/>
      <c r="J187" s="52"/>
      <c r="K187" s="52"/>
      <c r="L187" s="52"/>
    </row>
    <row r="188">
      <c r="C188" s="52"/>
      <c r="H188" s="52"/>
      <c r="I188" s="52"/>
      <c r="J188" s="52"/>
      <c r="K188" s="52"/>
      <c r="L188" s="52"/>
    </row>
    <row r="189">
      <c r="C189" s="52"/>
      <c r="H189" s="52"/>
      <c r="I189" s="52"/>
      <c r="J189" s="52"/>
      <c r="K189" s="52"/>
      <c r="L189" s="52"/>
    </row>
    <row r="190">
      <c r="C190" s="52"/>
      <c r="H190" s="52"/>
      <c r="I190" s="52"/>
      <c r="J190" s="52"/>
      <c r="K190" s="52"/>
      <c r="L190" s="52"/>
    </row>
    <row r="191">
      <c r="C191" s="52"/>
      <c r="H191" s="52"/>
      <c r="I191" s="52"/>
      <c r="J191" s="52"/>
      <c r="K191" s="52"/>
      <c r="L191" s="52"/>
    </row>
    <row r="192">
      <c r="C192" s="52"/>
      <c r="H192" s="52"/>
      <c r="I192" s="52"/>
      <c r="J192" s="52"/>
      <c r="K192" s="52"/>
      <c r="L192" s="52"/>
    </row>
    <row r="193">
      <c r="C193" s="52"/>
      <c r="H193" s="52"/>
      <c r="I193" s="52"/>
      <c r="J193" s="52"/>
      <c r="K193" s="52"/>
      <c r="L193" s="52"/>
    </row>
    <row r="194">
      <c r="C194" s="52"/>
      <c r="H194" s="52"/>
      <c r="I194" s="52"/>
      <c r="J194" s="52"/>
      <c r="K194" s="52"/>
      <c r="L194" s="52"/>
    </row>
    <row r="195">
      <c r="C195" s="52"/>
      <c r="H195" s="52"/>
      <c r="I195" s="52"/>
      <c r="J195" s="52"/>
      <c r="K195" s="52"/>
      <c r="L195" s="52"/>
    </row>
    <row r="196">
      <c r="C196" s="52"/>
      <c r="H196" s="52"/>
      <c r="I196" s="52"/>
      <c r="J196" s="52"/>
      <c r="K196" s="52"/>
      <c r="L196" s="52"/>
    </row>
    <row r="197">
      <c r="C197" s="52"/>
      <c r="H197" s="52"/>
      <c r="I197" s="52"/>
      <c r="J197" s="52"/>
      <c r="K197" s="52"/>
      <c r="L197" s="52"/>
    </row>
    <row r="198">
      <c r="C198" s="52"/>
      <c r="H198" s="52"/>
      <c r="I198" s="52"/>
      <c r="J198" s="52"/>
      <c r="K198" s="52"/>
      <c r="L198" s="52"/>
    </row>
    <row r="199">
      <c r="C199" s="52"/>
      <c r="H199" s="52"/>
      <c r="I199" s="52"/>
      <c r="J199" s="52"/>
      <c r="K199" s="52"/>
      <c r="L199" s="52"/>
    </row>
    <row r="200">
      <c r="C200" s="52"/>
      <c r="H200" s="52"/>
      <c r="I200" s="52"/>
      <c r="J200" s="52"/>
      <c r="K200" s="52"/>
      <c r="L200" s="52"/>
    </row>
    <row r="201">
      <c r="C201" s="52"/>
      <c r="H201" s="52"/>
      <c r="I201" s="52"/>
      <c r="J201" s="52"/>
      <c r="K201" s="52"/>
      <c r="L201" s="52"/>
    </row>
    <row r="202">
      <c r="C202" s="52"/>
      <c r="H202" s="52"/>
      <c r="I202" s="52"/>
      <c r="J202" s="52"/>
      <c r="K202" s="52"/>
      <c r="L202" s="52"/>
    </row>
    <row r="203">
      <c r="C203" s="52"/>
      <c r="H203" s="52"/>
      <c r="I203" s="52"/>
      <c r="J203" s="52"/>
      <c r="K203" s="52"/>
      <c r="L203" s="52"/>
    </row>
    <row r="204">
      <c r="C204" s="52"/>
      <c r="H204" s="52"/>
      <c r="I204" s="52"/>
      <c r="J204" s="52"/>
      <c r="K204" s="52"/>
      <c r="L204" s="52"/>
    </row>
    <row r="205">
      <c r="C205" s="52"/>
      <c r="H205" s="52"/>
      <c r="I205" s="52"/>
      <c r="J205" s="52"/>
      <c r="K205" s="52"/>
      <c r="L205" s="52"/>
    </row>
    <row r="206">
      <c r="C206" s="52"/>
      <c r="H206" s="52"/>
      <c r="I206" s="52"/>
      <c r="J206" s="52"/>
      <c r="K206" s="52"/>
      <c r="L206" s="52"/>
    </row>
    <row r="207">
      <c r="C207" s="52"/>
      <c r="H207" s="52"/>
      <c r="I207" s="52"/>
      <c r="J207" s="52"/>
      <c r="K207" s="52"/>
      <c r="L207" s="52"/>
    </row>
    <row r="208">
      <c r="C208" s="52"/>
      <c r="H208" s="52"/>
      <c r="I208" s="52"/>
      <c r="J208" s="52"/>
      <c r="K208" s="52"/>
      <c r="L208" s="52"/>
    </row>
    <row r="209">
      <c r="C209" s="52"/>
      <c r="H209" s="52"/>
      <c r="I209" s="52"/>
      <c r="J209" s="52"/>
      <c r="K209" s="52"/>
      <c r="L209" s="52"/>
    </row>
    <row r="210">
      <c r="C210" s="52"/>
      <c r="H210" s="52"/>
      <c r="I210" s="52"/>
      <c r="J210" s="52"/>
      <c r="K210" s="52"/>
      <c r="L210" s="52"/>
    </row>
    <row r="211">
      <c r="C211" s="52"/>
      <c r="H211" s="52"/>
      <c r="I211" s="52"/>
      <c r="J211" s="52"/>
      <c r="K211" s="52"/>
      <c r="L211" s="52"/>
    </row>
    <row r="212">
      <c r="C212" s="52"/>
      <c r="H212" s="52"/>
      <c r="I212" s="52"/>
      <c r="J212" s="52"/>
      <c r="K212" s="52"/>
      <c r="L212" s="52"/>
    </row>
    <row r="213">
      <c r="C213" s="52"/>
      <c r="H213" s="52"/>
      <c r="I213" s="52"/>
      <c r="J213" s="52"/>
      <c r="K213" s="52"/>
      <c r="L213" s="52"/>
    </row>
    <row r="214">
      <c r="C214" s="52"/>
      <c r="H214" s="52"/>
      <c r="I214" s="52"/>
      <c r="J214" s="52"/>
      <c r="K214" s="52"/>
      <c r="L214" s="52"/>
    </row>
    <row r="215">
      <c r="C215" s="52"/>
      <c r="H215" s="52"/>
      <c r="I215" s="52"/>
      <c r="J215" s="52"/>
      <c r="K215" s="52"/>
      <c r="L215" s="52"/>
    </row>
    <row r="216">
      <c r="C216" s="52"/>
      <c r="H216" s="52"/>
      <c r="I216" s="52"/>
      <c r="J216" s="52"/>
      <c r="K216" s="52"/>
      <c r="L216" s="52"/>
    </row>
    <row r="217">
      <c r="C217" s="52"/>
      <c r="H217" s="52"/>
      <c r="I217" s="52"/>
      <c r="J217" s="52"/>
      <c r="K217" s="52"/>
      <c r="L217" s="52"/>
    </row>
    <row r="218">
      <c r="C218" s="52"/>
      <c r="H218" s="52"/>
      <c r="I218" s="52"/>
      <c r="J218" s="52"/>
      <c r="K218" s="52"/>
      <c r="L218" s="52"/>
    </row>
    <row r="219">
      <c r="C219" s="52"/>
      <c r="H219" s="52"/>
      <c r="I219" s="52"/>
      <c r="J219" s="52"/>
      <c r="K219" s="52"/>
      <c r="L219" s="52"/>
    </row>
    <row r="220">
      <c r="C220" s="52"/>
      <c r="H220" s="52"/>
      <c r="I220" s="52"/>
      <c r="J220" s="52"/>
      <c r="K220" s="52"/>
      <c r="L220" s="52"/>
    </row>
    <row r="221">
      <c r="C221" s="52"/>
      <c r="H221" s="52"/>
      <c r="I221" s="52"/>
      <c r="J221" s="52"/>
      <c r="K221" s="52"/>
      <c r="L221" s="52"/>
    </row>
    <row r="222">
      <c r="C222" s="52"/>
      <c r="H222" s="52"/>
      <c r="I222" s="52"/>
      <c r="J222" s="52"/>
      <c r="K222" s="52"/>
      <c r="L222" s="52"/>
    </row>
    <row r="223">
      <c r="C223" s="52"/>
      <c r="H223" s="52"/>
      <c r="I223" s="52"/>
      <c r="J223" s="52"/>
      <c r="K223" s="52"/>
      <c r="L223" s="52"/>
    </row>
    <row r="224">
      <c r="C224" s="52"/>
      <c r="H224" s="52"/>
      <c r="I224" s="52"/>
      <c r="J224" s="52"/>
      <c r="K224" s="52"/>
      <c r="L224" s="52"/>
    </row>
    <row r="225">
      <c r="C225" s="52"/>
      <c r="H225" s="52"/>
      <c r="I225" s="52"/>
      <c r="J225" s="52"/>
      <c r="K225" s="52"/>
      <c r="L225" s="52"/>
    </row>
    <row r="226">
      <c r="C226" s="52"/>
      <c r="H226" s="52"/>
      <c r="I226" s="52"/>
      <c r="J226" s="52"/>
      <c r="K226" s="52"/>
      <c r="L226" s="52"/>
    </row>
    <row r="227">
      <c r="C227" s="52"/>
      <c r="H227" s="52"/>
      <c r="I227" s="52"/>
      <c r="J227" s="52"/>
      <c r="K227" s="52"/>
      <c r="L227" s="52"/>
    </row>
    <row r="228">
      <c r="C228" s="52"/>
      <c r="H228" s="52"/>
      <c r="I228" s="52"/>
      <c r="J228" s="52"/>
      <c r="K228" s="52"/>
      <c r="L228" s="52"/>
    </row>
    <row r="229">
      <c r="C229" s="52"/>
      <c r="H229" s="52"/>
      <c r="I229" s="52"/>
      <c r="J229" s="52"/>
      <c r="K229" s="52"/>
      <c r="L229" s="52"/>
    </row>
    <row r="230">
      <c r="C230" s="52"/>
      <c r="H230" s="52"/>
      <c r="I230" s="52"/>
      <c r="J230" s="52"/>
      <c r="K230" s="52"/>
      <c r="L230" s="52"/>
    </row>
    <row r="231">
      <c r="C231" s="52"/>
      <c r="H231" s="52"/>
      <c r="I231" s="52"/>
      <c r="J231" s="52"/>
      <c r="K231" s="52"/>
      <c r="L231" s="52"/>
    </row>
    <row r="232">
      <c r="C232" s="52"/>
      <c r="H232" s="52"/>
      <c r="I232" s="52"/>
      <c r="J232" s="52"/>
      <c r="K232" s="52"/>
      <c r="L232" s="52"/>
    </row>
    <row r="233">
      <c r="C233" s="52"/>
      <c r="H233" s="52"/>
      <c r="I233" s="52"/>
      <c r="J233" s="52"/>
      <c r="K233" s="52"/>
      <c r="L233" s="52"/>
    </row>
    <row r="234">
      <c r="C234" s="52"/>
      <c r="H234" s="52"/>
      <c r="I234" s="52"/>
      <c r="J234" s="52"/>
      <c r="K234" s="52"/>
      <c r="L234" s="52"/>
    </row>
    <row r="235">
      <c r="C235" s="52"/>
      <c r="H235" s="52"/>
      <c r="I235" s="52"/>
      <c r="J235" s="52"/>
      <c r="K235" s="52"/>
      <c r="L235" s="52"/>
    </row>
    <row r="236">
      <c r="C236" s="52"/>
      <c r="H236" s="52"/>
      <c r="I236" s="52"/>
      <c r="J236" s="52"/>
      <c r="K236" s="52"/>
      <c r="L236" s="52"/>
    </row>
    <row r="237">
      <c r="C237" s="52"/>
      <c r="H237" s="52"/>
      <c r="I237" s="52"/>
      <c r="J237" s="52"/>
      <c r="K237" s="52"/>
      <c r="L237" s="52"/>
    </row>
    <row r="238">
      <c r="C238" s="52"/>
      <c r="H238" s="52"/>
      <c r="I238" s="52"/>
      <c r="J238" s="52"/>
      <c r="K238" s="52"/>
      <c r="L238" s="52"/>
    </row>
    <row r="239">
      <c r="C239" s="52"/>
      <c r="H239" s="52"/>
      <c r="I239" s="52"/>
      <c r="J239" s="52"/>
      <c r="K239" s="52"/>
      <c r="L239" s="52"/>
    </row>
    <row r="240">
      <c r="C240" s="52"/>
      <c r="H240" s="52"/>
      <c r="I240" s="52"/>
      <c r="J240" s="52"/>
      <c r="K240" s="52"/>
      <c r="L240" s="52"/>
    </row>
    <row r="241">
      <c r="C241" s="52"/>
      <c r="H241" s="52"/>
      <c r="I241" s="52"/>
      <c r="J241" s="52"/>
      <c r="K241" s="52"/>
      <c r="L241" s="52"/>
    </row>
    <row r="242">
      <c r="C242" s="52"/>
      <c r="H242" s="52"/>
      <c r="I242" s="52"/>
      <c r="J242" s="52"/>
      <c r="K242" s="52"/>
      <c r="L242" s="52"/>
    </row>
    <row r="243">
      <c r="C243" s="52"/>
      <c r="H243" s="52"/>
      <c r="I243" s="52"/>
      <c r="J243" s="52"/>
      <c r="K243" s="52"/>
      <c r="L243" s="52"/>
    </row>
    <row r="244">
      <c r="C244" s="52"/>
      <c r="H244" s="52"/>
      <c r="I244" s="52"/>
      <c r="J244" s="52"/>
      <c r="K244" s="52"/>
      <c r="L244" s="52"/>
    </row>
    <row r="245">
      <c r="C245" s="52"/>
      <c r="H245" s="52"/>
      <c r="I245" s="52"/>
      <c r="J245" s="52"/>
      <c r="K245" s="52"/>
      <c r="L245" s="52"/>
    </row>
    <row r="246">
      <c r="C246" s="52"/>
      <c r="H246" s="52"/>
      <c r="I246" s="52"/>
      <c r="J246" s="52"/>
      <c r="K246" s="52"/>
      <c r="L246" s="52"/>
    </row>
    <row r="247">
      <c r="C247" s="52"/>
      <c r="H247" s="52"/>
      <c r="I247" s="52"/>
      <c r="J247" s="52"/>
      <c r="K247" s="52"/>
      <c r="L247" s="52"/>
    </row>
    <row r="248">
      <c r="C248" s="52"/>
      <c r="H248" s="52"/>
      <c r="I248" s="52"/>
      <c r="J248" s="52"/>
      <c r="K248" s="52"/>
      <c r="L248" s="52"/>
    </row>
    <row r="249">
      <c r="C249" s="52"/>
      <c r="H249" s="52"/>
      <c r="I249" s="52"/>
      <c r="J249" s="52"/>
      <c r="K249" s="52"/>
      <c r="L249" s="52"/>
    </row>
    <row r="250">
      <c r="C250" s="52"/>
      <c r="H250" s="52"/>
      <c r="I250" s="52"/>
      <c r="J250" s="52"/>
      <c r="K250" s="52"/>
      <c r="L250" s="52"/>
    </row>
    <row r="251">
      <c r="C251" s="52"/>
      <c r="H251" s="52"/>
      <c r="I251" s="52"/>
      <c r="J251" s="52"/>
      <c r="K251" s="52"/>
      <c r="L251" s="52"/>
    </row>
    <row r="252">
      <c r="C252" s="52"/>
      <c r="H252" s="52"/>
      <c r="I252" s="52"/>
      <c r="J252" s="52"/>
      <c r="K252" s="52"/>
      <c r="L252" s="52"/>
    </row>
    <row r="253">
      <c r="C253" s="52"/>
      <c r="H253" s="52"/>
      <c r="I253" s="52"/>
      <c r="J253" s="52"/>
      <c r="K253" s="52"/>
      <c r="L253" s="52"/>
    </row>
    <row r="254">
      <c r="C254" s="52"/>
      <c r="H254" s="52"/>
      <c r="I254" s="52"/>
      <c r="J254" s="52"/>
      <c r="K254" s="52"/>
      <c r="L254" s="52"/>
    </row>
    <row r="255">
      <c r="C255" s="52"/>
      <c r="H255" s="52"/>
      <c r="I255" s="52"/>
      <c r="J255" s="52"/>
      <c r="K255" s="52"/>
      <c r="L255" s="52"/>
    </row>
    <row r="256">
      <c r="C256" s="52"/>
      <c r="H256" s="52"/>
      <c r="I256" s="52"/>
      <c r="J256" s="52"/>
      <c r="K256" s="52"/>
      <c r="L256" s="52"/>
    </row>
    <row r="257">
      <c r="C257" s="52"/>
      <c r="H257" s="52"/>
      <c r="I257" s="52"/>
      <c r="J257" s="52"/>
      <c r="K257" s="52"/>
      <c r="L257" s="52"/>
    </row>
    <row r="258">
      <c r="C258" s="52"/>
      <c r="H258" s="52"/>
      <c r="I258" s="52"/>
      <c r="J258" s="52"/>
      <c r="K258" s="52"/>
      <c r="L258" s="52"/>
    </row>
    <row r="259">
      <c r="C259" s="52"/>
      <c r="H259" s="52"/>
      <c r="I259" s="52"/>
      <c r="J259" s="52"/>
      <c r="K259" s="52"/>
      <c r="L259" s="52"/>
    </row>
    <row r="260">
      <c r="C260" s="52"/>
      <c r="H260" s="52"/>
      <c r="I260" s="52"/>
      <c r="J260" s="52"/>
      <c r="K260" s="52"/>
      <c r="L260" s="52"/>
    </row>
    <row r="261">
      <c r="C261" s="52"/>
      <c r="H261" s="52"/>
      <c r="I261" s="52"/>
      <c r="J261" s="52"/>
      <c r="K261" s="52"/>
      <c r="L261" s="52"/>
    </row>
    <row r="262">
      <c r="C262" s="52"/>
      <c r="H262" s="52"/>
      <c r="I262" s="52"/>
      <c r="J262" s="52"/>
      <c r="K262" s="52"/>
      <c r="L262" s="52"/>
    </row>
    <row r="263">
      <c r="C263" s="52"/>
      <c r="H263" s="52"/>
      <c r="I263" s="52"/>
      <c r="J263" s="52"/>
      <c r="K263" s="52"/>
      <c r="L263" s="52"/>
    </row>
    <row r="264">
      <c r="C264" s="52"/>
      <c r="H264" s="52"/>
      <c r="I264" s="52"/>
      <c r="J264" s="52"/>
      <c r="K264" s="52"/>
      <c r="L264" s="52"/>
    </row>
    <row r="265">
      <c r="C265" s="52"/>
      <c r="H265" s="52"/>
      <c r="I265" s="52"/>
      <c r="J265" s="52"/>
      <c r="K265" s="52"/>
      <c r="L265" s="52"/>
    </row>
    <row r="266">
      <c r="C266" s="52"/>
      <c r="H266" s="52"/>
      <c r="I266" s="52"/>
      <c r="J266" s="52"/>
      <c r="K266" s="52"/>
      <c r="L266" s="52"/>
    </row>
    <row r="267">
      <c r="C267" s="52"/>
      <c r="H267" s="52"/>
      <c r="I267" s="52"/>
      <c r="J267" s="52"/>
      <c r="K267" s="52"/>
      <c r="L267" s="52"/>
    </row>
    <row r="268">
      <c r="C268" s="52"/>
      <c r="H268" s="52"/>
      <c r="I268" s="52"/>
      <c r="J268" s="52"/>
      <c r="K268" s="52"/>
      <c r="L268" s="52"/>
    </row>
    <row r="269">
      <c r="C269" s="52"/>
      <c r="H269" s="52"/>
      <c r="I269" s="52"/>
      <c r="J269" s="52"/>
      <c r="K269" s="52"/>
      <c r="L269" s="52"/>
    </row>
    <row r="270">
      <c r="C270" s="52"/>
      <c r="H270" s="52"/>
      <c r="I270" s="52"/>
      <c r="J270" s="52"/>
      <c r="K270" s="52"/>
      <c r="L270" s="52"/>
    </row>
    <row r="271">
      <c r="C271" s="52"/>
      <c r="H271" s="52"/>
      <c r="I271" s="52"/>
      <c r="J271" s="52"/>
      <c r="K271" s="52"/>
      <c r="L271" s="52"/>
    </row>
    <row r="272">
      <c r="C272" s="52"/>
      <c r="H272" s="52"/>
      <c r="I272" s="52"/>
      <c r="J272" s="52"/>
      <c r="K272" s="52"/>
      <c r="L272" s="52"/>
    </row>
    <row r="273">
      <c r="C273" s="52"/>
      <c r="H273" s="52"/>
      <c r="I273" s="52"/>
      <c r="J273" s="52"/>
      <c r="K273" s="52"/>
      <c r="L273" s="52"/>
    </row>
    <row r="274">
      <c r="C274" s="52"/>
      <c r="H274" s="52"/>
      <c r="I274" s="52"/>
      <c r="J274" s="52"/>
      <c r="K274" s="52"/>
      <c r="L274" s="52"/>
    </row>
    <row r="275">
      <c r="C275" s="52"/>
      <c r="H275" s="52"/>
      <c r="I275" s="52"/>
      <c r="J275" s="52"/>
      <c r="K275" s="52"/>
      <c r="L275" s="52"/>
    </row>
    <row r="276">
      <c r="C276" s="52"/>
      <c r="H276" s="52"/>
      <c r="I276" s="52"/>
      <c r="J276" s="52"/>
      <c r="K276" s="52"/>
      <c r="L276" s="52"/>
    </row>
    <row r="277">
      <c r="C277" s="52"/>
      <c r="H277" s="52"/>
      <c r="I277" s="52"/>
      <c r="J277" s="52"/>
      <c r="K277" s="52"/>
      <c r="L277" s="52"/>
    </row>
    <row r="278">
      <c r="C278" s="52"/>
      <c r="H278" s="52"/>
      <c r="I278" s="52"/>
      <c r="J278" s="52"/>
      <c r="K278" s="52"/>
      <c r="L278" s="52"/>
    </row>
    <row r="279">
      <c r="C279" s="52"/>
      <c r="H279" s="52"/>
      <c r="I279" s="52"/>
      <c r="J279" s="52"/>
      <c r="K279" s="52"/>
      <c r="L279" s="52"/>
    </row>
    <row r="280">
      <c r="C280" s="52"/>
      <c r="H280" s="52"/>
      <c r="I280" s="52"/>
      <c r="J280" s="52"/>
      <c r="K280" s="52"/>
      <c r="L280" s="52"/>
    </row>
    <row r="281">
      <c r="C281" s="52"/>
      <c r="H281" s="52"/>
      <c r="I281" s="52"/>
      <c r="J281" s="52"/>
      <c r="K281" s="52"/>
      <c r="L281" s="52"/>
    </row>
    <row r="282">
      <c r="C282" s="52"/>
      <c r="H282" s="52"/>
      <c r="I282" s="52"/>
      <c r="J282" s="52"/>
      <c r="K282" s="52"/>
      <c r="L282" s="52"/>
    </row>
    <row r="283">
      <c r="C283" s="52"/>
      <c r="H283" s="52"/>
      <c r="I283" s="52"/>
      <c r="J283" s="52"/>
      <c r="K283" s="52"/>
      <c r="L283" s="52"/>
    </row>
    <row r="284">
      <c r="C284" s="52"/>
      <c r="H284" s="52"/>
      <c r="I284" s="52"/>
      <c r="J284" s="52"/>
      <c r="K284" s="52"/>
      <c r="L284" s="52"/>
    </row>
    <row r="285">
      <c r="C285" s="52"/>
      <c r="H285" s="52"/>
      <c r="I285" s="52"/>
      <c r="J285" s="52"/>
      <c r="K285" s="52"/>
      <c r="L285" s="52"/>
    </row>
    <row r="286">
      <c r="C286" s="52"/>
      <c r="H286" s="52"/>
      <c r="I286" s="52"/>
      <c r="J286" s="52"/>
      <c r="K286" s="52"/>
      <c r="L286" s="52"/>
    </row>
    <row r="287">
      <c r="C287" s="52"/>
      <c r="H287" s="52"/>
      <c r="I287" s="52"/>
      <c r="J287" s="52"/>
      <c r="K287" s="52"/>
      <c r="L287" s="52"/>
    </row>
    <row r="288">
      <c r="C288" s="52"/>
      <c r="H288" s="52"/>
      <c r="I288" s="52"/>
      <c r="J288" s="52"/>
      <c r="K288" s="52"/>
      <c r="L288" s="52"/>
    </row>
    <row r="289">
      <c r="C289" s="52"/>
      <c r="H289" s="52"/>
      <c r="I289" s="52"/>
      <c r="J289" s="52"/>
      <c r="K289" s="52"/>
      <c r="L289" s="52"/>
    </row>
    <row r="290">
      <c r="C290" s="52"/>
      <c r="H290" s="52"/>
      <c r="I290" s="52"/>
      <c r="J290" s="52"/>
      <c r="K290" s="52"/>
      <c r="L290" s="52"/>
    </row>
    <row r="291">
      <c r="C291" s="52"/>
      <c r="H291" s="52"/>
      <c r="I291" s="52"/>
      <c r="J291" s="52"/>
      <c r="K291" s="52"/>
      <c r="L291" s="52"/>
    </row>
    <row r="292">
      <c r="C292" s="52"/>
      <c r="H292" s="52"/>
      <c r="I292" s="52"/>
      <c r="J292" s="52"/>
      <c r="K292" s="52"/>
      <c r="L292" s="52"/>
    </row>
    <row r="293">
      <c r="C293" s="52"/>
      <c r="H293" s="52"/>
      <c r="I293" s="52"/>
      <c r="J293" s="52"/>
      <c r="K293" s="52"/>
      <c r="L293" s="52"/>
    </row>
    <row r="294">
      <c r="C294" s="52"/>
      <c r="H294" s="52"/>
      <c r="I294" s="52"/>
      <c r="J294" s="52"/>
      <c r="K294" s="52"/>
      <c r="L294" s="52"/>
    </row>
    <row r="295">
      <c r="C295" s="52"/>
      <c r="H295" s="52"/>
      <c r="I295" s="52"/>
      <c r="J295" s="52"/>
      <c r="K295" s="52"/>
      <c r="L295" s="52"/>
    </row>
    <row r="296">
      <c r="C296" s="52"/>
      <c r="H296" s="52"/>
      <c r="I296" s="52"/>
      <c r="J296" s="52"/>
      <c r="K296" s="52"/>
      <c r="L296" s="52"/>
    </row>
    <row r="297">
      <c r="C297" s="52"/>
      <c r="H297" s="52"/>
      <c r="I297" s="52"/>
      <c r="J297" s="52"/>
      <c r="K297" s="52"/>
      <c r="L297" s="52"/>
    </row>
    <row r="298">
      <c r="C298" s="52"/>
      <c r="H298" s="52"/>
      <c r="I298" s="52"/>
      <c r="J298" s="52"/>
      <c r="K298" s="52"/>
      <c r="L298" s="52"/>
    </row>
    <row r="299">
      <c r="C299" s="52"/>
      <c r="H299" s="52"/>
      <c r="I299" s="52"/>
      <c r="J299" s="52"/>
      <c r="K299" s="52"/>
      <c r="L299" s="52"/>
    </row>
    <row r="300">
      <c r="C300" s="52"/>
      <c r="H300" s="52"/>
      <c r="I300" s="52"/>
      <c r="J300" s="52"/>
      <c r="K300" s="52"/>
      <c r="L300" s="52"/>
    </row>
    <row r="301">
      <c r="C301" s="52"/>
      <c r="H301" s="52"/>
      <c r="I301" s="52"/>
      <c r="J301" s="52"/>
      <c r="K301" s="52"/>
      <c r="L301" s="52"/>
    </row>
    <row r="302">
      <c r="C302" s="52"/>
      <c r="H302" s="52"/>
      <c r="I302" s="52"/>
      <c r="J302" s="52"/>
      <c r="K302" s="52"/>
      <c r="L302" s="52"/>
    </row>
    <row r="303">
      <c r="C303" s="52"/>
      <c r="H303" s="52"/>
      <c r="I303" s="52"/>
      <c r="J303" s="52"/>
      <c r="K303" s="52"/>
      <c r="L303" s="52"/>
    </row>
    <row r="304">
      <c r="C304" s="52"/>
      <c r="H304" s="52"/>
      <c r="I304" s="52"/>
      <c r="J304" s="52"/>
      <c r="K304" s="52"/>
      <c r="L304" s="52"/>
    </row>
    <row r="305">
      <c r="C305" s="52"/>
      <c r="H305" s="52"/>
      <c r="I305" s="52"/>
      <c r="J305" s="52"/>
      <c r="K305" s="52"/>
      <c r="L305" s="52"/>
    </row>
    <row r="306">
      <c r="C306" s="52"/>
      <c r="H306" s="52"/>
      <c r="I306" s="52"/>
      <c r="J306" s="52"/>
      <c r="K306" s="52"/>
      <c r="L306" s="52"/>
    </row>
    <row r="307">
      <c r="C307" s="52"/>
      <c r="H307" s="52"/>
      <c r="I307" s="52"/>
      <c r="J307" s="52"/>
      <c r="K307" s="52"/>
      <c r="L307" s="52"/>
    </row>
    <row r="308">
      <c r="C308" s="52"/>
      <c r="H308" s="52"/>
      <c r="I308" s="52"/>
      <c r="J308" s="52"/>
      <c r="K308" s="52"/>
      <c r="L308" s="52"/>
    </row>
    <row r="309">
      <c r="C309" s="52"/>
      <c r="H309" s="52"/>
      <c r="I309" s="52"/>
      <c r="J309" s="52"/>
      <c r="K309" s="52"/>
      <c r="L309" s="52"/>
    </row>
    <row r="310">
      <c r="C310" s="52"/>
      <c r="H310" s="52"/>
      <c r="I310" s="52"/>
      <c r="J310" s="52"/>
      <c r="K310" s="52"/>
      <c r="L310" s="52"/>
    </row>
    <row r="311">
      <c r="C311" s="52"/>
      <c r="H311" s="52"/>
      <c r="I311" s="52"/>
      <c r="J311" s="52"/>
      <c r="K311" s="52"/>
      <c r="L311" s="52"/>
    </row>
    <row r="312">
      <c r="C312" s="52"/>
      <c r="H312" s="52"/>
      <c r="I312" s="52"/>
      <c r="J312" s="52"/>
      <c r="K312" s="52"/>
      <c r="L312" s="52"/>
    </row>
    <row r="313">
      <c r="C313" s="52"/>
      <c r="H313" s="52"/>
      <c r="I313" s="52"/>
      <c r="J313" s="52"/>
      <c r="K313" s="52"/>
      <c r="L313" s="52"/>
    </row>
    <row r="314">
      <c r="C314" s="52"/>
      <c r="H314" s="52"/>
      <c r="I314" s="52"/>
      <c r="J314" s="52"/>
      <c r="K314" s="52"/>
      <c r="L314" s="52"/>
    </row>
    <row r="315">
      <c r="C315" s="52"/>
      <c r="H315" s="52"/>
      <c r="I315" s="52"/>
      <c r="J315" s="52"/>
      <c r="K315" s="52"/>
      <c r="L315" s="52"/>
    </row>
    <row r="316">
      <c r="C316" s="52"/>
      <c r="H316" s="52"/>
      <c r="I316" s="52"/>
      <c r="J316" s="52"/>
      <c r="K316" s="52"/>
      <c r="L316" s="52"/>
    </row>
    <row r="317">
      <c r="C317" s="52"/>
      <c r="H317" s="52"/>
      <c r="I317" s="52"/>
      <c r="J317" s="52"/>
      <c r="K317" s="52"/>
      <c r="L317" s="52"/>
    </row>
    <row r="318">
      <c r="C318" s="52"/>
      <c r="H318" s="52"/>
      <c r="I318" s="52"/>
      <c r="J318" s="52"/>
      <c r="K318" s="52"/>
      <c r="L318" s="52"/>
    </row>
    <row r="319">
      <c r="C319" s="52"/>
      <c r="H319" s="52"/>
      <c r="I319" s="52"/>
      <c r="J319" s="52"/>
      <c r="K319" s="52"/>
      <c r="L319" s="52"/>
    </row>
    <row r="320">
      <c r="C320" s="52"/>
      <c r="H320" s="52"/>
      <c r="I320" s="52"/>
      <c r="J320" s="52"/>
      <c r="K320" s="52"/>
      <c r="L320" s="52"/>
    </row>
    <row r="321">
      <c r="C321" s="52"/>
      <c r="H321" s="52"/>
      <c r="I321" s="52"/>
      <c r="J321" s="52"/>
      <c r="K321" s="52"/>
      <c r="L321" s="52"/>
    </row>
    <row r="322">
      <c r="C322" s="52"/>
      <c r="H322" s="52"/>
      <c r="I322" s="52"/>
      <c r="J322" s="52"/>
      <c r="K322" s="52"/>
      <c r="L322" s="52"/>
    </row>
    <row r="323">
      <c r="C323" s="52"/>
      <c r="H323" s="52"/>
      <c r="I323" s="52"/>
      <c r="J323" s="52"/>
      <c r="K323" s="52"/>
      <c r="L323" s="52"/>
    </row>
    <row r="324">
      <c r="C324" s="52"/>
      <c r="H324" s="52"/>
      <c r="I324" s="52"/>
      <c r="J324" s="52"/>
      <c r="K324" s="52"/>
      <c r="L324" s="52"/>
    </row>
    <row r="325">
      <c r="C325" s="52"/>
      <c r="H325" s="52"/>
      <c r="I325" s="52"/>
      <c r="J325" s="52"/>
      <c r="K325" s="52"/>
      <c r="L325" s="52"/>
    </row>
    <row r="326">
      <c r="C326" s="52"/>
      <c r="H326" s="52"/>
      <c r="I326" s="52"/>
      <c r="J326" s="52"/>
      <c r="K326" s="52"/>
      <c r="L326" s="52"/>
    </row>
    <row r="327">
      <c r="C327" s="52"/>
      <c r="H327" s="52"/>
      <c r="I327" s="52"/>
      <c r="J327" s="52"/>
      <c r="K327" s="52"/>
      <c r="L327" s="52"/>
    </row>
    <row r="328">
      <c r="C328" s="52"/>
      <c r="H328" s="52"/>
      <c r="I328" s="52"/>
      <c r="J328" s="52"/>
      <c r="K328" s="52"/>
      <c r="L328" s="52"/>
    </row>
    <row r="329">
      <c r="C329" s="52"/>
      <c r="H329" s="52"/>
      <c r="I329" s="52"/>
      <c r="J329" s="52"/>
      <c r="K329" s="52"/>
      <c r="L329" s="52"/>
    </row>
    <row r="330">
      <c r="C330" s="52"/>
      <c r="H330" s="52"/>
      <c r="I330" s="52"/>
      <c r="J330" s="52"/>
      <c r="K330" s="52"/>
      <c r="L330" s="52"/>
    </row>
    <row r="331">
      <c r="C331" s="52"/>
      <c r="H331" s="52"/>
      <c r="I331" s="52"/>
      <c r="J331" s="52"/>
      <c r="K331" s="52"/>
      <c r="L331" s="52"/>
    </row>
    <row r="332">
      <c r="C332" s="52"/>
      <c r="H332" s="52"/>
      <c r="I332" s="52"/>
      <c r="J332" s="52"/>
      <c r="K332" s="52"/>
      <c r="L332" s="52"/>
    </row>
    <row r="333">
      <c r="C333" s="52"/>
      <c r="H333" s="52"/>
      <c r="I333" s="52"/>
      <c r="J333" s="52"/>
      <c r="K333" s="52"/>
      <c r="L333" s="52"/>
    </row>
    <row r="334">
      <c r="C334" s="52"/>
      <c r="H334" s="52"/>
      <c r="I334" s="52"/>
      <c r="J334" s="52"/>
      <c r="K334" s="52"/>
      <c r="L334" s="52"/>
    </row>
    <row r="335">
      <c r="C335" s="52"/>
      <c r="H335" s="52"/>
      <c r="I335" s="52"/>
      <c r="J335" s="52"/>
      <c r="K335" s="52"/>
      <c r="L335" s="52"/>
    </row>
    <row r="336">
      <c r="C336" s="52"/>
      <c r="H336" s="52"/>
      <c r="I336" s="52"/>
      <c r="J336" s="52"/>
      <c r="K336" s="52"/>
      <c r="L336" s="52"/>
    </row>
    <row r="337">
      <c r="C337" s="52"/>
      <c r="H337" s="52"/>
      <c r="I337" s="52"/>
      <c r="J337" s="52"/>
      <c r="K337" s="52"/>
      <c r="L337" s="52"/>
    </row>
    <row r="338">
      <c r="C338" s="52"/>
      <c r="H338" s="52"/>
      <c r="I338" s="52"/>
      <c r="J338" s="52"/>
      <c r="K338" s="52"/>
      <c r="L338" s="52"/>
    </row>
    <row r="339">
      <c r="C339" s="52"/>
      <c r="H339" s="52"/>
      <c r="I339" s="52"/>
      <c r="J339" s="52"/>
      <c r="K339" s="52"/>
      <c r="L339" s="52"/>
    </row>
    <row r="340">
      <c r="C340" s="52"/>
      <c r="H340" s="52"/>
      <c r="I340" s="52"/>
      <c r="J340" s="52"/>
      <c r="K340" s="52"/>
      <c r="L340" s="52"/>
    </row>
    <row r="341">
      <c r="C341" s="52"/>
      <c r="H341" s="52"/>
      <c r="I341" s="52"/>
      <c r="J341" s="52"/>
      <c r="K341" s="52"/>
      <c r="L341" s="52"/>
    </row>
    <row r="342">
      <c r="C342" s="52"/>
      <c r="H342" s="52"/>
      <c r="I342" s="52"/>
      <c r="J342" s="52"/>
      <c r="K342" s="52"/>
      <c r="L342" s="52"/>
    </row>
    <row r="343">
      <c r="C343" s="52"/>
      <c r="H343" s="52"/>
      <c r="I343" s="52"/>
      <c r="J343" s="52"/>
      <c r="K343" s="52"/>
      <c r="L343" s="52"/>
    </row>
    <row r="344">
      <c r="C344" s="52"/>
      <c r="H344" s="52"/>
      <c r="I344" s="52"/>
      <c r="J344" s="52"/>
      <c r="K344" s="52"/>
      <c r="L344" s="52"/>
    </row>
    <row r="345">
      <c r="C345" s="52"/>
      <c r="H345" s="52"/>
      <c r="I345" s="52"/>
      <c r="J345" s="52"/>
      <c r="K345" s="52"/>
      <c r="L345" s="52"/>
    </row>
    <row r="346">
      <c r="C346" s="52"/>
      <c r="H346" s="52"/>
      <c r="I346" s="52"/>
      <c r="J346" s="52"/>
      <c r="K346" s="52"/>
      <c r="L346" s="52"/>
    </row>
    <row r="347">
      <c r="C347" s="52"/>
      <c r="H347" s="52"/>
      <c r="I347" s="52"/>
      <c r="J347" s="52"/>
      <c r="K347" s="52"/>
      <c r="L347" s="52"/>
    </row>
    <row r="348">
      <c r="C348" s="52"/>
      <c r="H348" s="52"/>
      <c r="I348" s="52"/>
      <c r="J348" s="52"/>
      <c r="K348" s="52"/>
      <c r="L348" s="52"/>
    </row>
    <row r="349">
      <c r="C349" s="52"/>
      <c r="H349" s="52"/>
      <c r="I349" s="52"/>
      <c r="J349" s="52"/>
      <c r="K349" s="52"/>
      <c r="L349" s="52"/>
    </row>
    <row r="350">
      <c r="C350" s="52"/>
      <c r="H350" s="52"/>
      <c r="I350" s="52"/>
      <c r="J350" s="52"/>
      <c r="K350" s="52"/>
      <c r="L350" s="52"/>
    </row>
    <row r="351">
      <c r="C351" s="52"/>
      <c r="H351" s="52"/>
      <c r="I351" s="52"/>
      <c r="J351" s="52"/>
      <c r="K351" s="52"/>
      <c r="L351" s="52"/>
    </row>
    <row r="352">
      <c r="C352" s="52"/>
      <c r="H352" s="52"/>
      <c r="I352" s="52"/>
      <c r="J352" s="52"/>
      <c r="K352" s="52"/>
      <c r="L352" s="52"/>
    </row>
    <row r="353">
      <c r="C353" s="52"/>
      <c r="H353" s="52"/>
      <c r="I353" s="52"/>
      <c r="J353" s="52"/>
      <c r="K353" s="52"/>
      <c r="L353" s="52"/>
    </row>
    <row r="354">
      <c r="C354" s="52"/>
      <c r="H354" s="52"/>
      <c r="I354" s="52"/>
      <c r="J354" s="52"/>
      <c r="K354" s="52"/>
      <c r="L354" s="52"/>
    </row>
    <row r="355">
      <c r="C355" s="52"/>
      <c r="H355" s="52"/>
      <c r="I355" s="52"/>
      <c r="J355" s="52"/>
      <c r="K355" s="52"/>
      <c r="L355" s="52"/>
    </row>
    <row r="356">
      <c r="C356" s="52"/>
      <c r="H356" s="52"/>
      <c r="I356" s="52"/>
      <c r="J356" s="52"/>
      <c r="K356" s="52"/>
      <c r="L356" s="52"/>
    </row>
    <row r="357">
      <c r="C357" s="52"/>
      <c r="H357" s="52"/>
      <c r="I357" s="52"/>
      <c r="J357" s="52"/>
      <c r="K357" s="52"/>
      <c r="L357" s="52"/>
    </row>
    <row r="358">
      <c r="C358" s="52"/>
      <c r="H358" s="52"/>
      <c r="I358" s="52"/>
      <c r="J358" s="52"/>
      <c r="K358" s="52"/>
      <c r="L358" s="52"/>
    </row>
    <row r="359">
      <c r="C359" s="52"/>
      <c r="H359" s="52"/>
      <c r="I359" s="52"/>
      <c r="J359" s="52"/>
      <c r="K359" s="52"/>
      <c r="L359" s="52"/>
    </row>
    <row r="360">
      <c r="C360" s="52"/>
      <c r="H360" s="52"/>
      <c r="I360" s="52"/>
      <c r="J360" s="52"/>
      <c r="K360" s="52"/>
      <c r="L360" s="52"/>
    </row>
    <row r="361">
      <c r="C361" s="52"/>
      <c r="H361" s="52"/>
      <c r="I361" s="52"/>
      <c r="J361" s="52"/>
      <c r="K361" s="52"/>
      <c r="L361" s="52"/>
    </row>
    <row r="362">
      <c r="C362" s="52"/>
      <c r="H362" s="52"/>
      <c r="I362" s="52"/>
      <c r="J362" s="52"/>
      <c r="K362" s="52"/>
      <c r="L362" s="52"/>
    </row>
    <row r="363">
      <c r="C363" s="52"/>
      <c r="H363" s="52"/>
      <c r="I363" s="52"/>
      <c r="J363" s="52"/>
      <c r="K363" s="52"/>
      <c r="L363" s="52"/>
    </row>
    <row r="364">
      <c r="C364" s="52"/>
      <c r="H364" s="52"/>
      <c r="I364" s="52"/>
      <c r="J364" s="52"/>
      <c r="K364" s="52"/>
      <c r="L364" s="52"/>
    </row>
    <row r="365">
      <c r="C365" s="52"/>
      <c r="H365" s="52"/>
      <c r="I365" s="52"/>
      <c r="J365" s="52"/>
      <c r="K365" s="52"/>
      <c r="L365" s="52"/>
    </row>
    <row r="366">
      <c r="C366" s="52"/>
      <c r="H366" s="52"/>
      <c r="I366" s="52"/>
      <c r="J366" s="52"/>
      <c r="K366" s="52"/>
      <c r="L366" s="52"/>
    </row>
    <row r="367">
      <c r="C367" s="52"/>
      <c r="H367" s="52"/>
      <c r="I367" s="52"/>
      <c r="J367" s="52"/>
      <c r="K367" s="52"/>
      <c r="L367" s="52"/>
    </row>
    <row r="368">
      <c r="C368" s="52"/>
      <c r="H368" s="52"/>
      <c r="I368" s="52"/>
      <c r="J368" s="52"/>
      <c r="K368" s="52"/>
      <c r="L368" s="52"/>
    </row>
    <row r="369">
      <c r="C369" s="52"/>
      <c r="H369" s="52"/>
      <c r="I369" s="52"/>
      <c r="J369" s="52"/>
      <c r="K369" s="52"/>
      <c r="L369" s="52"/>
    </row>
    <row r="370">
      <c r="C370" s="52"/>
      <c r="H370" s="52"/>
      <c r="I370" s="52"/>
      <c r="J370" s="52"/>
      <c r="K370" s="52"/>
      <c r="L370" s="52"/>
    </row>
    <row r="371">
      <c r="C371" s="52"/>
      <c r="H371" s="52"/>
      <c r="I371" s="52"/>
      <c r="J371" s="52"/>
      <c r="K371" s="52"/>
      <c r="L371" s="52"/>
    </row>
    <row r="372">
      <c r="C372" s="52"/>
      <c r="H372" s="52"/>
      <c r="I372" s="52"/>
      <c r="J372" s="52"/>
      <c r="K372" s="52"/>
      <c r="L372" s="52"/>
    </row>
    <row r="373">
      <c r="C373" s="52"/>
      <c r="H373" s="52"/>
      <c r="I373" s="52"/>
      <c r="J373" s="52"/>
      <c r="K373" s="52"/>
      <c r="L373" s="52"/>
    </row>
    <row r="374">
      <c r="C374" s="52"/>
      <c r="H374" s="52"/>
      <c r="I374" s="52"/>
      <c r="J374" s="52"/>
      <c r="K374" s="52"/>
      <c r="L374" s="52"/>
    </row>
    <row r="375">
      <c r="C375" s="52"/>
      <c r="H375" s="52"/>
      <c r="I375" s="52"/>
      <c r="J375" s="52"/>
      <c r="K375" s="52"/>
      <c r="L375" s="52"/>
    </row>
    <row r="376">
      <c r="C376" s="52"/>
      <c r="H376" s="52"/>
      <c r="I376" s="52"/>
      <c r="J376" s="52"/>
      <c r="K376" s="52"/>
      <c r="L376" s="52"/>
    </row>
    <row r="377">
      <c r="C377" s="52"/>
      <c r="H377" s="52"/>
      <c r="I377" s="52"/>
      <c r="J377" s="52"/>
      <c r="K377" s="52"/>
      <c r="L377" s="52"/>
    </row>
    <row r="378">
      <c r="C378" s="52"/>
      <c r="H378" s="52"/>
      <c r="I378" s="52"/>
      <c r="J378" s="52"/>
      <c r="K378" s="52"/>
      <c r="L378" s="52"/>
    </row>
    <row r="379">
      <c r="C379" s="52"/>
      <c r="H379" s="52"/>
      <c r="I379" s="52"/>
      <c r="J379" s="52"/>
      <c r="K379" s="52"/>
      <c r="L379" s="52"/>
    </row>
    <row r="380">
      <c r="C380" s="52"/>
      <c r="H380" s="52"/>
      <c r="I380" s="52"/>
      <c r="J380" s="52"/>
      <c r="K380" s="52"/>
      <c r="L380" s="52"/>
    </row>
    <row r="381">
      <c r="C381" s="52"/>
      <c r="H381" s="52"/>
      <c r="I381" s="52"/>
      <c r="J381" s="52"/>
      <c r="K381" s="52"/>
      <c r="L381" s="52"/>
    </row>
    <row r="382">
      <c r="C382" s="52"/>
      <c r="H382" s="52"/>
      <c r="I382" s="52"/>
      <c r="J382" s="52"/>
      <c r="K382" s="52"/>
      <c r="L382" s="52"/>
    </row>
    <row r="383">
      <c r="C383" s="52"/>
      <c r="H383" s="52"/>
      <c r="I383" s="52"/>
      <c r="J383" s="52"/>
      <c r="K383" s="52"/>
      <c r="L383" s="52"/>
    </row>
    <row r="384">
      <c r="C384" s="52"/>
      <c r="H384" s="52"/>
      <c r="I384" s="52"/>
      <c r="J384" s="52"/>
      <c r="K384" s="52"/>
      <c r="L384" s="52"/>
    </row>
    <row r="385">
      <c r="C385" s="52"/>
      <c r="H385" s="52"/>
      <c r="I385" s="52"/>
      <c r="J385" s="52"/>
      <c r="K385" s="52"/>
      <c r="L385" s="52"/>
    </row>
    <row r="386">
      <c r="C386" s="52"/>
      <c r="H386" s="52"/>
      <c r="I386" s="52"/>
      <c r="J386" s="52"/>
      <c r="K386" s="52"/>
      <c r="L386" s="52"/>
    </row>
    <row r="387">
      <c r="C387" s="52"/>
      <c r="H387" s="52"/>
      <c r="I387" s="52"/>
      <c r="J387" s="52"/>
      <c r="K387" s="52"/>
      <c r="L387" s="52"/>
    </row>
    <row r="388">
      <c r="C388" s="52"/>
      <c r="H388" s="52"/>
      <c r="I388" s="52"/>
      <c r="J388" s="52"/>
      <c r="K388" s="52"/>
      <c r="L388" s="52"/>
    </row>
    <row r="389">
      <c r="C389" s="52"/>
      <c r="H389" s="52"/>
      <c r="I389" s="52"/>
      <c r="J389" s="52"/>
      <c r="K389" s="52"/>
      <c r="L389" s="52"/>
    </row>
    <row r="390">
      <c r="C390" s="52"/>
      <c r="H390" s="52"/>
      <c r="I390" s="52"/>
      <c r="J390" s="52"/>
      <c r="K390" s="52"/>
      <c r="L390" s="52"/>
    </row>
    <row r="391">
      <c r="C391" s="52"/>
      <c r="H391" s="52"/>
      <c r="I391" s="52"/>
      <c r="J391" s="52"/>
      <c r="K391" s="52"/>
      <c r="L391" s="52"/>
    </row>
    <row r="392">
      <c r="C392" s="52"/>
      <c r="H392" s="52"/>
      <c r="I392" s="52"/>
      <c r="J392" s="52"/>
      <c r="K392" s="52"/>
      <c r="L392" s="52"/>
    </row>
    <row r="393">
      <c r="C393" s="52"/>
      <c r="H393" s="52"/>
      <c r="I393" s="52"/>
      <c r="J393" s="52"/>
      <c r="K393" s="52"/>
      <c r="L393" s="52"/>
    </row>
    <row r="394">
      <c r="C394" s="52"/>
      <c r="H394" s="52"/>
      <c r="I394" s="52"/>
      <c r="J394" s="52"/>
      <c r="K394" s="52"/>
      <c r="L394" s="52"/>
    </row>
    <row r="395">
      <c r="C395" s="52"/>
      <c r="H395" s="52"/>
      <c r="I395" s="52"/>
      <c r="J395" s="52"/>
      <c r="K395" s="52"/>
      <c r="L395" s="52"/>
    </row>
    <row r="396">
      <c r="C396" s="52"/>
      <c r="H396" s="52"/>
      <c r="I396" s="52"/>
      <c r="J396" s="52"/>
      <c r="K396" s="52"/>
      <c r="L396" s="52"/>
    </row>
    <row r="397">
      <c r="C397" s="52"/>
      <c r="H397" s="52"/>
      <c r="I397" s="52"/>
      <c r="J397" s="52"/>
      <c r="K397" s="52"/>
      <c r="L397" s="52"/>
    </row>
    <row r="398">
      <c r="C398" s="52"/>
      <c r="H398" s="52"/>
      <c r="I398" s="52"/>
      <c r="J398" s="52"/>
      <c r="K398" s="52"/>
      <c r="L398" s="52"/>
    </row>
    <row r="399">
      <c r="C399" s="52"/>
      <c r="H399" s="52"/>
      <c r="I399" s="52"/>
      <c r="J399" s="52"/>
      <c r="K399" s="52"/>
      <c r="L399" s="52"/>
    </row>
    <row r="400">
      <c r="C400" s="52"/>
      <c r="H400" s="52"/>
      <c r="I400" s="52"/>
      <c r="J400" s="52"/>
      <c r="K400" s="52"/>
      <c r="L400" s="52"/>
    </row>
    <row r="401">
      <c r="C401" s="52"/>
      <c r="H401" s="52"/>
      <c r="I401" s="52"/>
      <c r="J401" s="52"/>
      <c r="K401" s="52"/>
      <c r="L401" s="52"/>
    </row>
    <row r="402">
      <c r="C402" s="52"/>
      <c r="H402" s="52"/>
      <c r="I402" s="52"/>
      <c r="J402" s="52"/>
      <c r="K402" s="52"/>
      <c r="L402" s="52"/>
    </row>
    <row r="403">
      <c r="C403" s="52"/>
      <c r="H403" s="52"/>
      <c r="I403" s="52"/>
      <c r="J403" s="52"/>
      <c r="K403" s="52"/>
      <c r="L403" s="52"/>
    </row>
    <row r="404">
      <c r="C404" s="52"/>
      <c r="H404" s="52"/>
      <c r="I404" s="52"/>
      <c r="J404" s="52"/>
      <c r="K404" s="52"/>
      <c r="L404" s="52"/>
    </row>
    <row r="405">
      <c r="C405" s="52"/>
      <c r="H405" s="52"/>
      <c r="I405" s="52"/>
      <c r="J405" s="52"/>
      <c r="K405" s="52"/>
      <c r="L405" s="52"/>
    </row>
    <row r="406">
      <c r="C406" s="52"/>
      <c r="H406" s="52"/>
      <c r="I406" s="52"/>
      <c r="J406" s="52"/>
      <c r="K406" s="52"/>
      <c r="L406" s="52"/>
    </row>
    <row r="407">
      <c r="C407" s="52"/>
      <c r="H407" s="52"/>
      <c r="I407" s="52"/>
      <c r="J407" s="52"/>
      <c r="K407" s="52"/>
      <c r="L407" s="52"/>
    </row>
    <row r="408">
      <c r="C408" s="52"/>
      <c r="H408" s="52"/>
      <c r="I408" s="52"/>
      <c r="J408" s="52"/>
      <c r="K408" s="52"/>
      <c r="L408" s="52"/>
    </row>
    <row r="409">
      <c r="C409" s="52"/>
      <c r="H409" s="52"/>
      <c r="I409" s="52"/>
      <c r="J409" s="52"/>
      <c r="K409" s="52"/>
      <c r="L409" s="52"/>
    </row>
    <row r="410">
      <c r="C410" s="52"/>
      <c r="H410" s="52"/>
      <c r="I410" s="52"/>
      <c r="J410" s="52"/>
      <c r="K410" s="52"/>
      <c r="L410" s="52"/>
    </row>
    <row r="411">
      <c r="C411" s="52"/>
      <c r="H411" s="52"/>
      <c r="I411" s="52"/>
      <c r="J411" s="52"/>
      <c r="K411" s="52"/>
      <c r="L411" s="52"/>
    </row>
    <row r="412">
      <c r="C412" s="52"/>
      <c r="H412" s="52"/>
      <c r="I412" s="52"/>
      <c r="J412" s="52"/>
      <c r="K412" s="52"/>
      <c r="L412" s="52"/>
    </row>
    <row r="413">
      <c r="C413" s="52"/>
      <c r="H413" s="52"/>
      <c r="I413" s="52"/>
      <c r="J413" s="52"/>
      <c r="K413" s="52"/>
      <c r="L413" s="52"/>
    </row>
    <row r="414">
      <c r="C414" s="52"/>
      <c r="H414" s="52"/>
      <c r="I414" s="52"/>
      <c r="J414" s="52"/>
      <c r="K414" s="52"/>
      <c r="L414" s="52"/>
    </row>
    <row r="415">
      <c r="C415" s="52"/>
      <c r="H415" s="52"/>
      <c r="I415" s="52"/>
      <c r="J415" s="52"/>
      <c r="K415" s="52"/>
      <c r="L415" s="52"/>
    </row>
    <row r="416">
      <c r="C416" s="52"/>
      <c r="H416" s="52"/>
      <c r="I416" s="52"/>
      <c r="J416" s="52"/>
      <c r="K416" s="52"/>
      <c r="L416" s="52"/>
    </row>
    <row r="417">
      <c r="C417" s="52"/>
      <c r="H417" s="52"/>
      <c r="I417" s="52"/>
      <c r="J417" s="52"/>
      <c r="K417" s="52"/>
      <c r="L417" s="52"/>
    </row>
    <row r="418">
      <c r="C418" s="52"/>
      <c r="H418" s="52"/>
      <c r="I418" s="52"/>
      <c r="J418" s="52"/>
      <c r="K418" s="52"/>
      <c r="L418" s="52"/>
    </row>
    <row r="419">
      <c r="C419" s="52"/>
      <c r="H419" s="52"/>
      <c r="I419" s="52"/>
      <c r="J419" s="52"/>
      <c r="K419" s="52"/>
      <c r="L419" s="52"/>
    </row>
    <row r="420">
      <c r="C420" s="52"/>
      <c r="H420" s="52"/>
      <c r="I420" s="52"/>
      <c r="J420" s="52"/>
      <c r="K420" s="52"/>
      <c r="L420" s="52"/>
    </row>
    <row r="421">
      <c r="C421" s="52"/>
      <c r="H421" s="52"/>
      <c r="I421" s="52"/>
      <c r="J421" s="52"/>
      <c r="K421" s="52"/>
      <c r="L421" s="52"/>
    </row>
    <row r="422">
      <c r="C422" s="52"/>
      <c r="H422" s="52"/>
      <c r="I422" s="52"/>
      <c r="J422" s="52"/>
      <c r="K422" s="52"/>
      <c r="L422" s="52"/>
    </row>
    <row r="423">
      <c r="C423" s="52"/>
      <c r="H423" s="52"/>
      <c r="I423" s="52"/>
      <c r="J423" s="52"/>
      <c r="K423" s="52"/>
      <c r="L423" s="52"/>
    </row>
    <row r="424">
      <c r="C424" s="52"/>
      <c r="H424" s="52"/>
      <c r="I424" s="52"/>
      <c r="J424" s="52"/>
      <c r="K424" s="52"/>
      <c r="L424" s="52"/>
    </row>
    <row r="425">
      <c r="C425" s="52"/>
      <c r="H425" s="52"/>
      <c r="I425" s="52"/>
      <c r="J425" s="52"/>
      <c r="K425" s="52"/>
      <c r="L425" s="52"/>
    </row>
    <row r="426">
      <c r="C426" s="52"/>
      <c r="H426" s="52"/>
      <c r="I426" s="52"/>
      <c r="J426" s="52"/>
      <c r="K426" s="52"/>
      <c r="L426" s="52"/>
    </row>
    <row r="427">
      <c r="C427" s="52"/>
      <c r="H427" s="52"/>
      <c r="I427" s="52"/>
      <c r="J427" s="52"/>
      <c r="K427" s="52"/>
      <c r="L427" s="52"/>
    </row>
    <row r="428">
      <c r="C428" s="52"/>
      <c r="H428" s="52"/>
      <c r="I428" s="52"/>
      <c r="J428" s="52"/>
      <c r="K428" s="52"/>
      <c r="L428" s="52"/>
    </row>
    <row r="429">
      <c r="C429" s="52"/>
      <c r="H429" s="52"/>
      <c r="I429" s="52"/>
      <c r="J429" s="52"/>
      <c r="K429" s="52"/>
      <c r="L429" s="52"/>
    </row>
    <row r="430">
      <c r="C430" s="52"/>
      <c r="H430" s="52"/>
      <c r="I430" s="52"/>
      <c r="J430" s="52"/>
      <c r="K430" s="52"/>
      <c r="L430" s="52"/>
    </row>
    <row r="431">
      <c r="C431" s="52"/>
      <c r="H431" s="52"/>
      <c r="I431" s="52"/>
      <c r="J431" s="52"/>
      <c r="K431" s="52"/>
      <c r="L431" s="52"/>
    </row>
    <row r="432">
      <c r="C432" s="52"/>
      <c r="H432" s="52"/>
      <c r="I432" s="52"/>
      <c r="J432" s="52"/>
      <c r="K432" s="52"/>
      <c r="L432" s="52"/>
    </row>
    <row r="433">
      <c r="C433" s="52"/>
      <c r="H433" s="52"/>
      <c r="I433" s="52"/>
      <c r="J433" s="52"/>
      <c r="K433" s="52"/>
      <c r="L433" s="52"/>
    </row>
    <row r="434">
      <c r="C434" s="52"/>
      <c r="H434" s="52"/>
      <c r="I434" s="52"/>
      <c r="J434" s="52"/>
      <c r="K434" s="52"/>
      <c r="L434" s="52"/>
    </row>
    <row r="435">
      <c r="C435" s="52"/>
      <c r="H435" s="52"/>
      <c r="I435" s="52"/>
      <c r="J435" s="52"/>
      <c r="K435" s="52"/>
      <c r="L435" s="52"/>
    </row>
    <row r="436">
      <c r="C436" s="52"/>
      <c r="H436" s="52"/>
      <c r="I436" s="52"/>
      <c r="J436" s="52"/>
      <c r="K436" s="52"/>
      <c r="L436" s="52"/>
    </row>
    <row r="437">
      <c r="C437" s="52"/>
      <c r="H437" s="52"/>
      <c r="I437" s="52"/>
      <c r="J437" s="52"/>
      <c r="K437" s="52"/>
      <c r="L437" s="52"/>
    </row>
    <row r="438">
      <c r="C438" s="52"/>
      <c r="H438" s="52"/>
      <c r="I438" s="52"/>
      <c r="J438" s="52"/>
      <c r="K438" s="52"/>
      <c r="L438" s="52"/>
    </row>
    <row r="439">
      <c r="C439" s="52"/>
      <c r="H439" s="52"/>
      <c r="I439" s="52"/>
      <c r="J439" s="52"/>
      <c r="K439" s="52"/>
      <c r="L439" s="52"/>
    </row>
    <row r="440">
      <c r="C440" s="52"/>
      <c r="H440" s="52"/>
      <c r="I440" s="52"/>
      <c r="J440" s="52"/>
      <c r="K440" s="52"/>
      <c r="L440" s="52"/>
    </row>
    <row r="441">
      <c r="C441" s="52"/>
      <c r="H441" s="52"/>
      <c r="I441" s="52"/>
      <c r="J441" s="52"/>
      <c r="K441" s="52"/>
      <c r="L441" s="52"/>
    </row>
    <row r="442">
      <c r="C442" s="52"/>
      <c r="H442" s="52"/>
      <c r="I442" s="52"/>
      <c r="J442" s="52"/>
      <c r="K442" s="52"/>
      <c r="L442" s="52"/>
    </row>
    <row r="443">
      <c r="C443" s="52"/>
      <c r="H443" s="52"/>
      <c r="I443" s="52"/>
      <c r="J443" s="52"/>
      <c r="K443" s="52"/>
      <c r="L443" s="52"/>
    </row>
    <row r="444">
      <c r="C444" s="52"/>
      <c r="H444" s="52"/>
      <c r="I444" s="52"/>
      <c r="J444" s="52"/>
      <c r="K444" s="52"/>
      <c r="L444" s="52"/>
    </row>
    <row r="445">
      <c r="C445" s="52"/>
      <c r="H445" s="52"/>
      <c r="I445" s="52"/>
      <c r="J445" s="52"/>
      <c r="K445" s="52"/>
      <c r="L445" s="52"/>
    </row>
    <row r="446">
      <c r="C446" s="52"/>
      <c r="H446" s="52"/>
      <c r="I446" s="52"/>
      <c r="J446" s="52"/>
      <c r="K446" s="52"/>
      <c r="L446" s="52"/>
    </row>
    <row r="447">
      <c r="C447" s="52"/>
      <c r="H447" s="52"/>
      <c r="I447" s="52"/>
      <c r="J447" s="52"/>
      <c r="K447" s="52"/>
      <c r="L447" s="52"/>
    </row>
    <row r="448">
      <c r="C448" s="52"/>
      <c r="H448" s="52"/>
      <c r="I448" s="52"/>
      <c r="J448" s="52"/>
      <c r="K448" s="52"/>
      <c r="L448" s="52"/>
    </row>
    <row r="449">
      <c r="C449" s="52"/>
      <c r="H449" s="52"/>
      <c r="I449" s="52"/>
      <c r="J449" s="52"/>
      <c r="K449" s="52"/>
      <c r="L449" s="52"/>
    </row>
    <row r="450">
      <c r="C450" s="52"/>
      <c r="H450" s="52"/>
      <c r="I450" s="52"/>
      <c r="J450" s="52"/>
      <c r="K450" s="52"/>
      <c r="L450" s="52"/>
    </row>
    <row r="451">
      <c r="C451" s="52"/>
      <c r="H451" s="52"/>
      <c r="I451" s="52"/>
      <c r="J451" s="52"/>
      <c r="K451" s="52"/>
      <c r="L451" s="52"/>
    </row>
    <row r="452">
      <c r="C452" s="52"/>
      <c r="H452" s="52"/>
      <c r="I452" s="52"/>
      <c r="J452" s="52"/>
      <c r="K452" s="52"/>
      <c r="L452" s="52"/>
    </row>
    <row r="453">
      <c r="C453" s="52"/>
      <c r="H453" s="52"/>
      <c r="I453" s="52"/>
      <c r="J453" s="52"/>
      <c r="K453" s="52"/>
      <c r="L453" s="52"/>
    </row>
    <row r="454">
      <c r="C454" s="52"/>
      <c r="H454" s="52"/>
      <c r="I454" s="52"/>
      <c r="J454" s="52"/>
      <c r="K454" s="52"/>
      <c r="L454" s="52"/>
    </row>
    <row r="455">
      <c r="C455" s="52"/>
      <c r="H455" s="52"/>
      <c r="I455" s="52"/>
      <c r="J455" s="52"/>
      <c r="K455" s="52"/>
      <c r="L455" s="52"/>
    </row>
    <row r="456">
      <c r="C456" s="52"/>
      <c r="H456" s="52"/>
      <c r="I456" s="52"/>
      <c r="J456" s="52"/>
      <c r="K456" s="52"/>
      <c r="L456" s="52"/>
    </row>
    <row r="457">
      <c r="C457" s="52"/>
      <c r="H457" s="52"/>
      <c r="I457" s="52"/>
      <c r="J457" s="52"/>
      <c r="K457" s="52"/>
      <c r="L457" s="52"/>
    </row>
    <row r="458">
      <c r="C458" s="52"/>
      <c r="H458" s="52"/>
      <c r="I458" s="52"/>
      <c r="J458" s="52"/>
      <c r="K458" s="52"/>
      <c r="L458" s="52"/>
    </row>
    <row r="459">
      <c r="C459" s="52"/>
      <c r="H459" s="52"/>
      <c r="I459" s="52"/>
      <c r="J459" s="52"/>
      <c r="K459" s="52"/>
      <c r="L459" s="52"/>
    </row>
    <row r="460">
      <c r="C460" s="52"/>
      <c r="H460" s="52"/>
      <c r="I460" s="52"/>
      <c r="J460" s="52"/>
      <c r="K460" s="52"/>
      <c r="L460" s="52"/>
    </row>
    <row r="461">
      <c r="C461" s="52"/>
      <c r="H461" s="52"/>
      <c r="I461" s="52"/>
      <c r="J461" s="52"/>
      <c r="K461" s="52"/>
      <c r="L461" s="52"/>
    </row>
    <row r="462">
      <c r="C462" s="52"/>
      <c r="H462" s="52"/>
      <c r="I462" s="52"/>
      <c r="J462" s="52"/>
      <c r="K462" s="52"/>
      <c r="L462" s="52"/>
    </row>
    <row r="463">
      <c r="C463" s="52"/>
      <c r="H463" s="52"/>
      <c r="I463" s="52"/>
      <c r="J463" s="52"/>
      <c r="K463" s="52"/>
      <c r="L463" s="52"/>
    </row>
    <row r="464">
      <c r="C464" s="52"/>
      <c r="H464" s="52"/>
      <c r="I464" s="52"/>
      <c r="J464" s="52"/>
      <c r="K464" s="52"/>
      <c r="L464" s="52"/>
    </row>
    <row r="465">
      <c r="C465" s="52"/>
      <c r="H465" s="52"/>
      <c r="I465" s="52"/>
      <c r="J465" s="52"/>
      <c r="K465" s="52"/>
      <c r="L465" s="52"/>
    </row>
    <row r="466">
      <c r="C466" s="52"/>
      <c r="H466" s="52"/>
      <c r="I466" s="52"/>
      <c r="J466" s="52"/>
      <c r="K466" s="52"/>
      <c r="L466" s="52"/>
    </row>
    <row r="467">
      <c r="C467" s="52"/>
      <c r="H467" s="52"/>
      <c r="I467" s="52"/>
      <c r="J467" s="52"/>
      <c r="K467" s="52"/>
      <c r="L467" s="52"/>
    </row>
    <row r="468">
      <c r="C468" s="52"/>
      <c r="H468" s="52"/>
      <c r="I468" s="52"/>
      <c r="J468" s="52"/>
      <c r="K468" s="52"/>
      <c r="L468" s="52"/>
    </row>
    <row r="469">
      <c r="C469" s="52"/>
      <c r="H469" s="52"/>
      <c r="I469" s="52"/>
      <c r="J469" s="52"/>
      <c r="K469" s="52"/>
      <c r="L469" s="52"/>
    </row>
    <row r="470">
      <c r="C470" s="52"/>
      <c r="H470" s="52"/>
      <c r="I470" s="52"/>
      <c r="J470" s="52"/>
      <c r="K470" s="52"/>
      <c r="L470" s="52"/>
    </row>
    <row r="471">
      <c r="C471" s="52"/>
      <c r="H471" s="52"/>
      <c r="I471" s="52"/>
      <c r="J471" s="52"/>
      <c r="K471" s="52"/>
      <c r="L471" s="52"/>
    </row>
    <row r="472">
      <c r="C472" s="52"/>
      <c r="H472" s="52"/>
      <c r="I472" s="52"/>
      <c r="J472" s="52"/>
      <c r="K472" s="52"/>
      <c r="L472" s="52"/>
    </row>
    <row r="473">
      <c r="C473" s="52"/>
      <c r="H473" s="52"/>
      <c r="I473" s="52"/>
      <c r="J473" s="52"/>
      <c r="K473" s="52"/>
      <c r="L473" s="52"/>
    </row>
    <row r="474">
      <c r="C474" s="52"/>
      <c r="H474" s="52"/>
      <c r="I474" s="52"/>
      <c r="J474" s="52"/>
      <c r="K474" s="52"/>
      <c r="L474" s="52"/>
    </row>
    <row r="475">
      <c r="C475" s="52"/>
      <c r="H475" s="52"/>
      <c r="I475" s="52"/>
      <c r="J475" s="52"/>
      <c r="K475" s="52"/>
      <c r="L475" s="52"/>
    </row>
    <row r="476">
      <c r="C476" s="52"/>
      <c r="H476" s="52"/>
      <c r="I476" s="52"/>
      <c r="J476" s="52"/>
      <c r="K476" s="52"/>
      <c r="L476" s="52"/>
    </row>
    <row r="477">
      <c r="C477" s="52"/>
      <c r="H477" s="52"/>
      <c r="I477" s="52"/>
      <c r="J477" s="52"/>
      <c r="K477" s="52"/>
      <c r="L477" s="52"/>
    </row>
    <row r="478">
      <c r="C478" s="52"/>
      <c r="H478" s="52"/>
      <c r="I478" s="52"/>
      <c r="J478" s="52"/>
      <c r="K478" s="52"/>
      <c r="L478" s="52"/>
    </row>
    <row r="479">
      <c r="C479" s="52"/>
      <c r="H479" s="52"/>
      <c r="I479" s="52"/>
      <c r="J479" s="52"/>
      <c r="K479" s="52"/>
      <c r="L479" s="52"/>
    </row>
    <row r="480">
      <c r="C480" s="52"/>
      <c r="H480" s="52"/>
      <c r="I480" s="52"/>
      <c r="J480" s="52"/>
      <c r="K480" s="52"/>
      <c r="L480" s="52"/>
    </row>
    <row r="481">
      <c r="C481" s="52"/>
      <c r="H481" s="52"/>
      <c r="I481" s="52"/>
      <c r="J481" s="52"/>
      <c r="K481" s="52"/>
      <c r="L481" s="52"/>
    </row>
    <row r="482">
      <c r="C482" s="52"/>
      <c r="H482" s="52"/>
      <c r="I482" s="52"/>
      <c r="J482" s="52"/>
      <c r="K482" s="52"/>
      <c r="L482" s="52"/>
    </row>
    <row r="483">
      <c r="C483" s="52"/>
      <c r="H483" s="52"/>
      <c r="I483" s="52"/>
      <c r="J483" s="52"/>
      <c r="K483" s="52"/>
      <c r="L483" s="52"/>
    </row>
    <row r="484">
      <c r="C484" s="52"/>
      <c r="H484" s="52"/>
      <c r="I484" s="52"/>
      <c r="J484" s="52"/>
      <c r="K484" s="52"/>
      <c r="L484" s="52"/>
    </row>
    <row r="485">
      <c r="C485" s="52"/>
      <c r="H485" s="52"/>
      <c r="I485" s="52"/>
      <c r="J485" s="52"/>
      <c r="K485" s="52"/>
      <c r="L485" s="52"/>
    </row>
    <row r="486">
      <c r="C486" s="52"/>
      <c r="H486" s="52"/>
      <c r="I486" s="52"/>
      <c r="J486" s="52"/>
      <c r="K486" s="52"/>
      <c r="L486" s="52"/>
    </row>
    <row r="487">
      <c r="C487" s="52"/>
      <c r="H487" s="52"/>
      <c r="I487" s="52"/>
      <c r="J487" s="52"/>
      <c r="K487" s="52"/>
      <c r="L487" s="52"/>
    </row>
    <row r="488">
      <c r="C488" s="52"/>
      <c r="H488" s="52"/>
      <c r="I488" s="52"/>
      <c r="J488" s="52"/>
      <c r="K488" s="52"/>
      <c r="L488" s="52"/>
    </row>
    <row r="489">
      <c r="C489" s="52"/>
      <c r="H489" s="52"/>
      <c r="I489" s="52"/>
      <c r="J489" s="52"/>
      <c r="K489" s="52"/>
      <c r="L489" s="52"/>
    </row>
    <row r="490">
      <c r="C490" s="52"/>
      <c r="H490" s="52"/>
      <c r="I490" s="52"/>
      <c r="J490" s="52"/>
      <c r="K490" s="52"/>
      <c r="L490" s="52"/>
    </row>
    <row r="491">
      <c r="C491" s="52"/>
      <c r="H491" s="52"/>
      <c r="I491" s="52"/>
      <c r="J491" s="52"/>
      <c r="K491" s="52"/>
      <c r="L491" s="52"/>
    </row>
    <row r="492">
      <c r="C492" s="52"/>
      <c r="H492" s="52"/>
      <c r="I492" s="52"/>
      <c r="J492" s="52"/>
      <c r="K492" s="52"/>
      <c r="L492" s="52"/>
    </row>
    <row r="493">
      <c r="C493" s="52"/>
      <c r="H493" s="52"/>
      <c r="I493" s="52"/>
      <c r="J493" s="52"/>
      <c r="K493" s="52"/>
      <c r="L493" s="52"/>
    </row>
    <row r="494">
      <c r="C494" s="52"/>
      <c r="H494" s="52"/>
      <c r="I494" s="52"/>
      <c r="J494" s="52"/>
      <c r="K494" s="52"/>
      <c r="L494" s="52"/>
    </row>
    <row r="495">
      <c r="C495" s="52"/>
      <c r="H495" s="52"/>
      <c r="I495" s="52"/>
      <c r="J495" s="52"/>
      <c r="K495" s="52"/>
      <c r="L495" s="52"/>
    </row>
    <row r="496">
      <c r="C496" s="52"/>
      <c r="H496" s="52"/>
      <c r="I496" s="52"/>
      <c r="J496" s="52"/>
      <c r="K496" s="52"/>
      <c r="L496" s="52"/>
    </row>
    <row r="497">
      <c r="C497" s="52"/>
      <c r="H497" s="52"/>
      <c r="I497" s="52"/>
      <c r="J497" s="52"/>
      <c r="K497" s="52"/>
      <c r="L497" s="52"/>
    </row>
    <row r="498">
      <c r="C498" s="52"/>
      <c r="H498" s="52"/>
      <c r="I498" s="52"/>
      <c r="J498" s="52"/>
      <c r="K498" s="52"/>
      <c r="L498" s="52"/>
    </row>
    <row r="499">
      <c r="C499" s="52"/>
      <c r="H499" s="52"/>
      <c r="I499" s="52"/>
      <c r="J499" s="52"/>
      <c r="K499" s="52"/>
      <c r="L499" s="52"/>
    </row>
    <row r="500">
      <c r="C500" s="52"/>
      <c r="H500" s="52"/>
      <c r="I500" s="52"/>
      <c r="J500" s="52"/>
      <c r="K500" s="52"/>
      <c r="L500" s="52"/>
    </row>
    <row r="501">
      <c r="C501" s="52"/>
      <c r="H501" s="52"/>
      <c r="I501" s="52"/>
      <c r="J501" s="52"/>
      <c r="K501" s="52"/>
      <c r="L501" s="52"/>
    </row>
    <row r="502">
      <c r="C502" s="52"/>
      <c r="H502" s="52"/>
      <c r="I502" s="52"/>
      <c r="J502" s="52"/>
      <c r="K502" s="52"/>
      <c r="L502" s="52"/>
    </row>
    <row r="503">
      <c r="C503" s="52"/>
      <c r="H503" s="52"/>
      <c r="I503" s="52"/>
      <c r="J503" s="52"/>
      <c r="K503" s="52"/>
      <c r="L503" s="52"/>
    </row>
    <row r="504">
      <c r="C504" s="52"/>
      <c r="H504" s="52"/>
      <c r="I504" s="52"/>
      <c r="J504" s="52"/>
      <c r="K504" s="52"/>
      <c r="L504" s="52"/>
    </row>
    <row r="505">
      <c r="C505" s="52"/>
      <c r="H505" s="52"/>
      <c r="I505" s="52"/>
      <c r="J505" s="52"/>
      <c r="K505" s="52"/>
      <c r="L505" s="52"/>
    </row>
    <row r="506">
      <c r="C506" s="52"/>
      <c r="H506" s="52"/>
      <c r="I506" s="52"/>
      <c r="J506" s="52"/>
      <c r="K506" s="52"/>
      <c r="L506" s="52"/>
    </row>
    <row r="507">
      <c r="C507" s="52"/>
      <c r="H507" s="52"/>
      <c r="I507" s="52"/>
      <c r="J507" s="52"/>
      <c r="K507" s="52"/>
      <c r="L507" s="52"/>
    </row>
    <row r="508">
      <c r="C508" s="52"/>
      <c r="H508" s="52"/>
      <c r="I508" s="52"/>
      <c r="J508" s="52"/>
      <c r="K508" s="52"/>
      <c r="L508" s="52"/>
    </row>
    <row r="509">
      <c r="C509" s="52"/>
      <c r="H509" s="52"/>
      <c r="I509" s="52"/>
      <c r="J509" s="52"/>
      <c r="K509" s="52"/>
      <c r="L509" s="52"/>
    </row>
    <row r="510">
      <c r="C510" s="52"/>
      <c r="H510" s="52"/>
      <c r="I510" s="52"/>
      <c r="J510" s="52"/>
      <c r="K510" s="52"/>
      <c r="L510" s="52"/>
    </row>
    <row r="511">
      <c r="C511" s="52"/>
      <c r="H511" s="52"/>
      <c r="I511" s="52"/>
      <c r="J511" s="52"/>
      <c r="K511" s="52"/>
      <c r="L511" s="52"/>
    </row>
    <row r="512">
      <c r="C512" s="52"/>
      <c r="H512" s="52"/>
      <c r="I512" s="52"/>
      <c r="J512" s="52"/>
      <c r="K512" s="52"/>
      <c r="L512" s="52"/>
    </row>
    <row r="513">
      <c r="C513" s="52"/>
      <c r="H513" s="52"/>
      <c r="I513" s="52"/>
      <c r="J513" s="52"/>
      <c r="K513" s="52"/>
      <c r="L513" s="52"/>
    </row>
    <row r="514">
      <c r="C514" s="52"/>
      <c r="H514" s="52"/>
      <c r="I514" s="52"/>
      <c r="J514" s="52"/>
      <c r="K514" s="52"/>
      <c r="L514" s="52"/>
    </row>
    <row r="515">
      <c r="C515" s="52"/>
      <c r="H515" s="52"/>
      <c r="I515" s="52"/>
      <c r="J515" s="52"/>
      <c r="K515" s="52"/>
      <c r="L515" s="52"/>
    </row>
    <row r="516">
      <c r="C516" s="52"/>
      <c r="H516" s="52"/>
      <c r="I516" s="52"/>
      <c r="J516" s="52"/>
      <c r="K516" s="52"/>
      <c r="L516" s="52"/>
    </row>
    <row r="517">
      <c r="C517" s="52"/>
      <c r="H517" s="52"/>
      <c r="I517" s="52"/>
      <c r="J517" s="52"/>
      <c r="K517" s="52"/>
      <c r="L517" s="52"/>
    </row>
    <row r="518">
      <c r="C518" s="52"/>
      <c r="H518" s="52"/>
      <c r="I518" s="52"/>
      <c r="J518" s="52"/>
      <c r="K518" s="52"/>
      <c r="L518" s="52"/>
    </row>
    <row r="519">
      <c r="C519" s="52"/>
      <c r="H519" s="52"/>
      <c r="I519" s="52"/>
      <c r="J519" s="52"/>
      <c r="K519" s="52"/>
      <c r="L519" s="52"/>
    </row>
    <row r="520">
      <c r="C520" s="52"/>
      <c r="H520" s="52"/>
      <c r="I520" s="52"/>
      <c r="J520" s="52"/>
      <c r="K520" s="52"/>
      <c r="L520" s="52"/>
    </row>
    <row r="521">
      <c r="C521" s="52"/>
      <c r="H521" s="52"/>
      <c r="I521" s="52"/>
      <c r="J521" s="52"/>
      <c r="K521" s="52"/>
      <c r="L521" s="52"/>
    </row>
    <row r="522">
      <c r="C522" s="52"/>
      <c r="H522" s="52"/>
      <c r="I522" s="52"/>
      <c r="J522" s="52"/>
      <c r="K522" s="52"/>
      <c r="L522" s="52"/>
    </row>
    <row r="523">
      <c r="C523" s="52"/>
      <c r="H523" s="52"/>
      <c r="I523" s="52"/>
      <c r="J523" s="52"/>
      <c r="K523" s="52"/>
      <c r="L523" s="52"/>
    </row>
    <row r="524">
      <c r="C524" s="52"/>
      <c r="H524" s="52"/>
      <c r="I524" s="52"/>
      <c r="J524" s="52"/>
      <c r="K524" s="52"/>
      <c r="L524" s="52"/>
    </row>
    <row r="525">
      <c r="C525" s="52"/>
      <c r="H525" s="52"/>
      <c r="I525" s="52"/>
      <c r="J525" s="52"/>
      <c r="K525" s="52"/>
      <c r="L525" s="52"/>
    </row>
    <row r="526">
      <c r="C526" s="52"/>
      <c r="H526" s="52"/>
      <c r="I526" s="52"/>
      <c r="J526" s="52"/>
      <c r="K526" s="52"/>
      <c r="L526" s="52"/>
    </row>
    <row r="527">
      <c r="C527" s="52"/>
      <c r="H527" s="52"/>
      <c r="I527" s="52"/>
      <c r="J527" s="52"/>
      <c r="K527" s="52"/>
      <c r="L527" s="52"/>
    </row>
    <row r="528">
      <c r="C528" s="52"/>
      <c r="H528" s="52"/>
      <c r="I528" s="52"/>
      <c r="J528" s="52"/>
      <c r="K528" s="52"/>
      <c r="L528" s="52"/>
    </row>
    <row r="529">
      <c r="C529" s="52"/>
      <c r="H529" s="52"/>
      <c r="I529" s="52"/>
      <c r="J529" s="52"/>
      <c r="K529" s="52"/>
      <c r="L529" s="52"/>
    </row>
    <row r="530">
      <c r="C530" s="52"/>
      <c r="H530" s="52"/>
      <c r="I530" s="52"/>
      <c r="J530" s="52"/>
      <c r="K530" s="52"/>
      <c r="L530" s="52"/>
    </row>
    <row r="531">
      <c r="C531" s="52"/>
      <c r="H531" s="52"/>
      <c r="I531" s="52"/>
      <c r="J531" s="52"/>
      <c r="K531" s="52"/>
      <c r="L531" s="52"/>
    </row>
    <row r="532">
      <c r="C532" s="52"/>
      <c r="H532" s="52"/>
      <c r="I532" s="52"/>
      <c r="J532" s="52"/>
      <c r="K532" s="52"/>
      <c r="L532" s="52"/>
    </row>
    <row r="533">
      <c r="C533" s="52"/>
      <c r="H533" s="52"/>
      <c r="I533" s="52"/>
      <c r="J533" s="52"/>
      <c r="K533" s="52"/>
      <c r="L533" s="52"/>
    </row>
    <row r="534">
      <c r="C534" s="52"/>
      <c r="H534" s="52"/>
      <c r="I534" s="52"/>
      <c r="J534" s="52"/>
      <c r="K534" s="52"/>
      <c r="L534" s="52"/>
    </row>
    <row r="535">
      <c r="C535" s="52"/>
      <c r="H535" s="52"/>
      <c r="I535" s="52"/>
      <c r="J535" s="52"/>
      <c r="K535" s="52"/>
      <c r="L535" s="52"/>
    </row>
    <row r="536">
      <c r="C536" s="52"/>
      <c r="H536" s="52"/>
      <c r="I536" s="52"/>
      <c r="J536" s="52"/>
      <c r="K536" s="52"/>
      <c r="L536" s="52"/>
    </row>
    <row r="537">
      <c r="C537" s="52"/>
      <c r="H537" s="52"/>
      <c r="I537" s="52"/>
      <c r="J537" s="52"/>
      <c r="K537" s="52"/>
      <c r="L537" s="52"/>
    </row>
    <row r="538">
      <c r="C538" s="52"/>
      <c r="H538" s="52"/>
      <c r="I538" s="52"/>
      <c r="J538" s="52"/>
      <c r="K538" s="52"/>
      <c r="L538" s="52"/>
    </row>
    <row r="539">
      <c r="C539" s="52"/>
      <c r="H539" s="52"/>
      <c r="I539" s="52"/>
      <c r="J539" s="52"/>
      <c r="K539" s="52"/>
      <c r="L539" s="52"/>
    </row>
    <row r="540">
      <c r="C540" s="52"/>
      <c r="H540" s="52"/>
      <c r="I540" s="52"/>
      <c r="J540" s="52"/>
      <c r="K540" s="52"/>
      <c r="L540" s="52"/>
    </row>
    <row r="541">
      <c r="C541" s="52"/>
      <c r="H541" s="52"/>
      <c r="I541" s="52"/>
      <c r="J541" s="52"/>
      <c r="K541" s="52"/>
      <c r="L541" s="52"/>
    </row>
    <row r="542">
      <c r="C542" s="52"/>
      <c r="H542" s="52"/>
      <c r="I542" s="52"/>
      <c r="J542" s="52"/>
      <c r="K542" s="52"/>
      <c r="L542" s="52"/>
    </row>
    <row r="543">
      <c r="C543" s="52"/>
      <c r="H543" s="52"/>
      <c r="I543" s="52"/>
      <c r="J543" s="52"/>
      <c r="K543" s="52"/>
      <c r="L543" s="52"/>
    </row>
    <row r="544">
      <c r="C544" s="52"/>
      <c r="H544" s="52"/>
      <c r="I544" s="52"/>
      <c r="J544" s="52"/>
      <c r="K544" s="52"/>
      <c r="L544" s="52"/>
    </row>
    <row r="545">
      <c r="C545" s="52"/>
      <c r="H545" s="52"/>
      <c r="I545" s="52"/>
      <c r="J545" s="52"/>
      <c r="K545" s="52"/>
      <c r="L545" s="52"/>
    </row>
    <row r="546">
      <c r="C546" s="52"/>
      <c r="H546" s="52"/>
      <c r="I546" s="52"/>
      <c r="J546" s="52"/>
      <c r="K546" s="52"/>
      <c r="L546" s="52"/>
    </row>
    <row r="547">
      <c r="C547" s="52"/>
      <c r="H547" s="52"/>
      <c r="I547" s="52"/>
      <c r="J547" s="52"/>
      <c r="K547" s="52"/>
      <c r="L547" s="52"/>
    </row>
    <row r="548">
      <c r="C548" s="52"/>
      <c r="H548" s="52"/>
      <c r="I548" s="52"/>
      <c r="J548" s="52"/>
      <c r="K548" s="52"/>
      <c r="L548" s="52"/>
    </row>
    <row r="549">
      <c r="C549" s="52"/>
      <c r="H549" s="52"/>
      <c r="I549" s="52"/>
      <c r="J549" s="52"/>
      <c r="K549" s="52"/>
      <c r="L549" s="52"/>
    </row>
    <row r="550">
      <c r="C550" s="52"/>
      <c r="H550" s="52"/>
      <c r="I550" s="52"/>
      <c r="J550" s="52"/>
      <c r="K550" s="52"/>
      <c r="L550" s="52"/>
    </row>
    <row r="551">
      <c r="C551" s="52"/>
      <c r="H551" s="52"/>
      <c r="I551" s="52"/>
      <c r="J551" s="52"/>
      <c r="K551" s="52"/>
      <c r="L551" s="52"/>
    </row>
    <row r="552">
      <c r="C552" s="52"/>
      <c r="H552" s="52"/>
      <c r="I552" s="52"/>
      <c r="J552" s="52"/>
      <c r="K552" s="52"/>
      <c r="L552" s="52"/>
    </row>
    <row r="553">
      <c r="C553" s="52"/>
      <c r="H553" s="52"/>
      <c r="I553" s="52"/>
      <c r="J553" s="52"/>
      <c r="K553" s="52"/>
      <c r="L553" s="52"/>
    </row>
    <row r="554">
      <c r="C554" s="52"/>
      <c r="H554" s="52"/>
      <c r="I554" s="52"/>
      <c r="J554" s="52"/>
      <c r="K554" s="52"/>
      <c r="L554" s="52"/>
    </row>
    <row r="555">
      <c r="C555" s="52"/>
      <c r="H555" s="52"/>
      <c r="I555" s="52"/>
      <c r="J555" s="52"/>
      <c r="K555" s="52"/>
      <c r="L555" s="52"/>
    </row>
    <row r="556">
      <c r="C556" s="52"/>
      <c r="H556" s="52"/>
      <c r="I556" s="52"/>
      <c r="J556" s="52"/>
      <c r="K556" s="52"/>
      <c r="L556" s="52"/>
    </row>
    <row r="557">
      <c r="C557" s="52"/>
      <c r="H557" s="52"/>
      <c r="I557" s="52"/>
      <c r="J557" s="52"/>
      <c r="K557" s="52"/>
      <c r="L557" s="52"/>
    </row>
    <row r="558">
      <c r="C558" s="52"/>
      <c r="H558" s="52"/>
      <c r="I558" s="52"/>
      <c r="J558" s="52"/>
      <c r="K558" s="52"/>
      <c r="L558" s="52"/>
    </row>
    <row r="559">
      <c r="C559" s="52"/>
      <c r="H559" s="52"/>
      <c r="I559" s="52"/>
      <c r="J559" s="52"/>
      <c r="K559" s="52"/>
      <c r="L559" s="52"/>
    </row>
    <row r="560">
      <c r="C560" s="52"/>
      <c r="H560" s="52"/>
      <c r="I560" s="52"/>
      <c r="J560" s="52"/>
      <c r="K560" s="52"/>
      <c r="L560" s="52"/>
    </row>
    <row r="561">
      <c r="C561" s="52"/>
      <c r="H561" s="52"/>
      <c r="I561" s="52"/>
      <c r="J561" s="52"/>
      <c r="K561" s="52"/>
      <c r="L561" s="52"/>
    </row>
    <row r="562">
      <c r="C562" s="52"/>
      <c r="H562" s="52"/>
      <c r="I562" s="52"/>
      <c r="J562" s="52"/>
      <c r="K562" s="52"/>
      <c r="L562" s="52"/>
    </row>
    <row r="563">
      <c r="C563" s="52"/>
      <c r="H563" s="52"/>
      <c r="I563" s="52"/>
      <c r="J563" s="52"/>
      <c r="K563" s="52"/>
      <c r="L563" s="52"/>
    </row>
    <row r="564">
      <c r="C564" s="52"/>
      <c r="H564" s="52"/>
      <c r="I564" s="52"/>
      <c r="J564" s="52"/>
      <c r="K564" s="52"/>
      <c r="L564" s="52"/>
    </row>
    <row r="565">
      <c r="C565" s="52"/>
      <c r="H565" s="52"/>
      <c r="I565" s="52"/>
      <c r="J565" s="52"/>
      <c r="K565" s="52"/>
      <c r="L565" s="52"/>
    </row>
    <row r="566">
      <c r="C566" s="52"/>
      <c r="H566" s="52"/>
      <c r="I566" s="52"/>
      <c r="J566" s="52"/>
      <c r="K566" s="52"/>
      <c r="L566" s="52"/>
    </row>
    <row r="567">
      <c r="C567" s="52"/>
      <c r="H567" s="52"/>
      <c r="I567" s="52"/>
      <c r="J567" s="52"/>
      <c r="K567" s="52"/>
      <c r="L567" s="52"/>
    </row>
    <row r="568">
      <c r="C568" s="52"/>
      <c r="H568" s="52"/>
      <c r="I568" s="52"/>
      <c r="J568" s="52"/>
      <c r="K568" s="52"/>
      <c r="L568" s="52"/>
    </row>
    <row r="569">
      <c r="C569" s="52"/>
      <c r="H569" s="52"/>
      <c r="I569" s="52"/>
      <c r="J569" s="52"/>
      <c r="K569" s="52"/>
      <c r="L569" s="52"/>
    </row>
    <row r="570">
      <c r="C570" s="52"/>
      <c r="H570" s="52"/>
      <c r="I570" s="52"/>
      <c r="J570" s="52"/>
      <c r="K570" s="52"/>
      <c r="L570" s="52"/>
    </row>
    <row r="571">
      <c r="C571" s="52"/>
      <c r="H571" s="52"/>
      <c r="I571" s="52"/>
      <c r="J571" s="52"/>
      <c r="K571" s="52"/>
      <c r="L571" s="52"/>
    </row>
    <row r="572">
      <c r="C572" s="52"/>
      <c r="H572" s="52"/>
      <c r="I572" s="52"/>
      <c r="J572" s="52"/>
      <c r="K572" s="52"/>
      <c r="L572" s="52"/>
    </row>
    <row r="573">
      <c r="C573" s="52"/>
      <c r="H573" s="52"/>
      <c r="I573" s="52"/>
      <c r="J573" s="52"/>
      <c r="K573" s="52"/>
      <c r="L573" s="52"/>
    </row>
    <row r="574">
      <c r="C574" s="52"/>
      <c r="H574" s="52"/>
      <c r="I574" s="52"/>
      <c r="J574" s="52"/>
      <c r="K574" s="52"/>
      <c r="L574" s="52"/>
    </row>
    <row r="575">
      <c r="C575" s="52"/>
      <c r="H575" s="52"/>
      <c r="I575" s="52"/>
      <c r="J575" s="52"/>
      <c r="K575" s="52"/>
      <c r="L575" s="52"/>
    </row>
    <row r="576">
      <c r="C576" s="52"/>
      <c r="H576" s="52"/>
      <c r="I576" s="52"/>
      <c r="J576" s="52"/>
      <c r="K576" s="52"/>
      <c r="L576" s="52"/>
    </row>
    <row r="577">
      <c r="C577" s="52"/>
      <c r="H577" s="52"/>
      <c r="I577" s="52"/>
      <c r="J577" s="52"/>
      <c r="K577" s="52"/>
      <c r="L577" s="52"/>
    </row>
    <row r="578">
      <c r="C578" s="52"/>
      <c r="H578" s="52"/>
      <c r="I578" s="52"/>
      <c r="J578" s="52"/>
      <c r="K578" s="52"/>
      <c r="L578" s="52"/>
    </row>
    <row r="579">
      <c r="C579" s="52"/>
      <c r="H579" s="52"/>
      <c r="I579" s="52"/>
      <c r="J579" s="52"/>
      <c r="K579" s="52"/>
      <c r="L579" s="52"/>
    </row>
    <row r="580">
      <c r="C580" s="52"/>
      <c r="H580" s="52"/>
      <c r="I580" s="52"/>
      <c r="J580" s="52"/>
      <c r="K580" s="52"/>
      <c r="L580" s="52"/>
    </row>
    <row r="581">
      <c r="C581" s="52"/>
      <c r="H581" s="52"/>
      <c r="I581" s="52"/>
      <c r="J581" s="52"/>
      <c r="K581" s="52"/>
      <c r="L581" s="52"/>
    </row>
    <row r="582">
      <c r="C582" s="52"/>
      <c r="H582" s="52"/>
      <c r="I582" s="52"/>
      <c r="J582" s="52"/>
      <c r="K582" s="52"/>
      <c r="L582" s="52"/>
    </row>
    <row r="583">
      <c r="C583" s="52"/>
      <c r="H583" s="52"/>
      <c r="I583" s="52"/>
      <c r="J583" s="52"/>
      <c r="K583" s="52"/>
      <c r="L583" s="52"/>
    </row>
    <row r="584">
      <c r="C584" s="52"/>
      <c r="H584" s="52"/>
      <c r="I584" s="52"/>
      <c r="J584" s="52"/>
      <c r="K584" s="52"/>
      <c r="L584" s="52"/>
    </row>
    <row r="585">
      <c r="C585" s="52"/>
      <c r="H585" s="52"/>
      <c r="I585" s="52"/>
      <c r="J585" s="52"/>
      <c r="K585" s="52"/>
      <c r="L585" s="52"/>
    </row>
    <row r="586">
      <c r="C586" s="52"/>
      <c r="H586" s="52"/>
      <c r="I586" s="52"/>
      <c r="J586" s="52"/>
      <c r="K586" s="52"/>
      <c r="L586" s="52"/>
    </row>
    <row r="587">
      <c r="C587" s="52"/>
      <c r="H587" s="52"/>
      <c r="I587" s="52"/>
      <c r="J587" s="52"/>
      <c r="K587" s="52"/>
      <c r="L587" s="52"/>
    </row>
    <row r="588">
      <c r="C588" s="52"/>
      <c r="H588" s="52"/>
      <c r="I588" s="52"/>
      <c r="J588" s="52"/>
      <c r="K588" s="52"/>
      <c r="L588" s="52"/>
    </row>
    <row r="589">
      <c r="C589" s="52"/>
      <c r="H589" s="52"/>
      <c r="I589" s="52"/>
      <c r="J589" s="52"/>
      <c r="K589" s="52"/>
      <c r="L589" s="52"/>
    </row>
    <row r="590">
      <c r="C590" s="52"/>
      <c r="H590" s="52"/>
      <c r="I590" s="52"/>
      <c r="J590" s="52"/>
      <c r="K590" s="52"/>
      <c r="L590" s="52"/>
    </row>
    <row r="591">
      <c r="C591" s="52"/>
      <c r="H591" s="52"/>
      <c r="I591" s="52"/>
      <c r="J591" s="52"/>
      <c r="K591" s="52"/>
      <c r="L591" s="52"/>
    </row>
    <row r="592">
      <c r="C592" s="52"/>
      <c r="H592" s="52"/>
      <c r="I592" s="52"/>
      <c r="J592" s="52"/>
      <c r="K592" s="52"/>
      <c r="L592" s="52"/>
    </row>
    <row r="593">
      <c r="C593" s="52"/>
      <c r="H593" s="52"/>
      <c r="I593" s="52"/>
      <c r="J593" s="52"/>
      <c r="K593" s="52"/>
      <c r="L593" s="52"/>
    </row>
    <row r="594">
      <c r="C594" s="52"/>
      <c r="H594" s="52"/>
      <c r="I594" s="52"/>
      <c r="J594" s="52"/>
      <c r="K594" s="52"/>
      <c r="L594" s="52"/>
    </row>
    <row r="595">
      <c r="C595" s="52"/>
      <c r="H595" s="52"/>
      <c r="I595" s="52"/>
      <c r="J595" s="52"/>
      <c r="K595" s="52"/>
      <c r="L595" s="52"/>
    </row>
    <row r="596">
      <c r="C596" s="52"/>
      <c r="H596" s="52"/>
      <c r="I596" s="52"/>
      <c r="J596" s="52"/>
      <c r="K596" s="52"/>
      <c r="L596" s="52"/>
    </row>
    <row r="597">
      <c r="C597" s="52"/>
      <c r="H597" s="52"/>
      <c r="I597" s="52"/>
      <c r="J597" s="52"/>
      <c r="K597" s="52"/>
      <c r="L597" s="52"/>
    </row>
    <row r="598">
      <c r="C598" s="52"/>
      <c r="H598" s="52"/>
      <c r="I598" s="52"/>
      <c r="J598" s="52"/>
      <c r="K598" s="52"/>
      <c r="L598" s="52"/>
    </row>
    <row r="599">
      <c r="C599" s="52"/>
      <c r="H599" s="52"/>
      <c r="I599" s="52"/>
      <c r="J599" s="52"/>
      <c r="K599" s="52"/>
      <c r="L599" s="52"/>
    </row>
    <row r="600">
      <c r="C600" s="52"/>
      <c r="H600" s="52"/>
      <c r="I600" s="52"/>
      <c r="J600" s="52"/>
      <c r="K600" s="52"/>
      <c r="L600" s="52"/>
    </row>
    <row r="601">
      <c r="C601" s="52"/>
      <c r="H601" s="52"/>
      <c r="I601" s="52"/>
      <c r="J601" s="52"/>
      <c r="K601" s="52"/>
      <c r="L601" s="52"/>
    </row>
    <row r="602">
      <c r="C602" s="52"/>
      <c r="H602" s="52"/>
      <c r="I602" s="52"/>
      <c r="J602" s="52"/>
      <c r="K602" s="52"/>
      <c r="L602" s="52"/>
    </row>
    <row r="603">
      <c r="C603" s="52"/>
      <c r="H603" s="52"/>
      <c r="I603" s="52"/>
      <c r="J603" s="52"/>
      <c r="K603" s="52"/>
      <c r="L603" s="52"/>
    </row>
    <row r="604">
      <c r="C604" s="52"/>
      <c r="H604" s="52"/>
      <c r="I604" s="52"/>
      <c r="J604" s="52"/>
      <c r="K604" s="52"/>
      <c r="L604" s="52"/>
    </row>
    <row r="605">
      <c r="C605" s="52"/>
      <c r="H605" s="52"/>
      <c r="I605" s="52"/>
      <c r="J605" s="52"/>
      <c r="K605" s="52"/>
      <c r="L605" s="52"/>
    </row>
    <row r="606">
      <c r="C606" s="52"/>
      <c r="H606" s="52"/>
      <c r="I606" s="52"/>
      <c r="J606" s="52"/>
      <c r="K606" s="52"/>
      <c r="L606" s="52"/>
    </row>
    <row r="607">
      <c r="C607" s="52"/>
      <c r="H607" s="52"/>
      <c r="I607" s="52"/>
      <c r="J607" s="52"/>
      <c r="K607" s="52"/>
      <c r="L607" s="52"/>
    </row>
    <row r="608">
      <c r="C608" s="52"/>
      <c r="H608" s="52"/>
      <c r="I608" s="52"/>
      <c r="J608" s="52"/>
      <c r="K608" s="52"/>
      <c r="L608" s="52"/>
    </row>
    <row r="609">
      <c r="C609" s="52"/>
      <c r="H609" s="52"/>
      <c r="I609" s="52"/>
      <c r="J609" s="52"/>
      <c r="K609" s="52"/>
      <c r="L609" s="52"/>
    </row>
    <row r="610">
      <c r="C610" s="52"/>
      <c r="H610" s="52"/>
      <c r="I610" s="52"/>
      <c r="J610" s="52"/>
      <c r="K610" s="52"/>
      <c r="L610" s="52"/>
    </row>
    <row r="611">
      <c r="C611" s="52"/>
      <c r="H611" s="52"/>
      <c r="I611" s="52"/>
      <c r="J611" s="52"/>
      <c r="K611" s="52"/>
      <c r="L611" s="52"/>
    </row>
    <row r="612">
      <c r="C612" s="52"/>
      <c r="H612" s="52"/>
      <c r="I612" s="52"/>
      <c r="J612" s="52"/>
      <c r="K612" s="52"/>
      <c r="L612" s="52"/>
    </row>
    <row r="613">
      <c r="C613" s="52"/>
      <c r="H613" s="52"/>
      <c r="I613" s="52"/>
      <c r="J613" s="52"/>
      <c r="K613" s="52"/>
      <c r="L613" s="52"/>
    </row>
    <row r="614">
      <c r="C614" s="52"/>
      <c r="H614" s="52"/>
      <c r="I614" s="52"/>
      <c r="J614" s="52"/>
      <c r="K614" s="52"/>
      <c r="L614" s="52"/>
    </row>
    <row r="615">
      <c r="C615" s="52"/>
      <c r="H615" s="52"/>
      <c r="I615" s="52"/>
      <c r="J615" s="52"/>
      <c r="K615" s="52"/>
      <c r="L615" s="52"/>
    </row>
    <row r="616">
      <c r="C616" s="52"/>
      <c r="H616" s="52"/>
      <c r="I616" s="52"/>
      <c r="J616" s="52"/>
      <c r="K616" s="52"/>
      <c r="L616" s="52"/>
    </row>
    <row r="617">
      <c r="C617" s="52"/>
      <c r="H617" s="52"/>
      <c r="I617" s="52"/>
      <c r="J617" s="52"/>
      <c r="K617" s="52"/>
      <c r="L617" s="52"/>
    </row>
    <row r="618">
      <c r="C618" s="52"/>
      <c r="H618" s="52"/>
      <c r="I618" s="52"/>
      <c r="J618" s="52"/>
      <c r="K618" s="52"/>
      <c r="L618" s="52"/>
    </row>
    <row r="619">
      <c r="C619" s="52"/>
      <c r="H619" s="52"/>
      <c r="I619" s="52"/>
      <c r="J619" s="52"/>
      <c r="K619" s="52"/>
      <c r="L619" s="52"/>
    </row>
    <row r="620">
      <c r="C620" s="52"/>
      <c r="H620" s="52"/>
      <c r="I620" s="52"/>
      <c r="J620" s="52"/>
      <c r="K620" s="52"/>
      <c r="L620" s="52"/>
    </row>
    <row r="621">
      <c r="C621" s="52"/>
      <c r="H621" s="52"/>
      <c r="I621" s="52"/>
      <c r="J621" s="52"/>
      <c r="K621" s="52"/>
      <c r="L621" s="52"/>
    </row>
    <row r="622">
      <c r="C622" s="52"/>
      <c r="H622" s="52"/>
      <c r="I622" s="52"/>
      <c r="J622" s="52"/>
      <c r="K622" s="52"/>
      <c r="L622" s="52"/>
    </row>
    <row r="623">
      <c r="C623" s="52"/>
      <c r="H623" s="52"/>
      <c r="I623" s="52"/>
      <c r="J623" s="52"/>
      <c r="K623" s="52"/>
      <c r="L623" s="52"/>
    </row>
    <row r="624">
      <c r="C624" s="52"/>
      <c r="H624" s="52"/>
      <c r="I624" s="52"/>
      <c r="J624" s="52"/>
      <c r="K624" s="52"/>
      <c r="L624" s="52"/>
    </row>
    <row r="625">
      <c r="C625" s="52"/>
      <c r="H625" s="52"/>
      <c r="I625" s="52"/>
      <c r="J625" s="52"/>
      <c r="K625" s="52"/>
      <c r="L625" s="52"/>
    </row>
    <row r="626">
      <c r="C626" s="52"/>
      <c r="H626" s="52"/>
      <c r="I626" s="52"/>
      <c r="J626" s="52"/>
      <c r="K626" s="52"/>
      <c r="L626" s="52"/>
    </row>
    <row r="627">
      <c r="C627" s="52"/>
      <c r="H627" s="52"/>
      <c r="I627" s="52"/>
      <c r="J627" s="52"/>
      <c r="K627" s="52"/>
      <c r="L627" s="52"/>
    </row>
    <row r="628">
      <c r="C628" s="52"/>
      <c r="H628" s="52"/>
      <c r="I628" s="52"/>
      <c r="J628" s="52"/>
      <c r="K628" s="52"/>
      <c r="L628" s="52"/>
    </row>
    <row r="629">
      <c r="C629" s="52"/>
      <c r="H629" s="52"/>
      <c r="I629" s="52"/>
      <c r="J629" s="52"/>
      <c r="K629" s="52"/>
      <c r="L629" s="52"/>
    </row>
    <row r="630">
      <c r="C630" s="52"/>
      <c r="H630" s="52"/>
      <c r="I630" s="52"/>
      <c r="J630" s="52"/>
      <c r="K630" s="52"/>
      <c r="L630" s="52"/>
    </row>
    <row r="631">
      <c r="C631" s="52"/>
      <c r="H631" s="52"/>
      <c r="I631" s="52"/>
      <c r="J631" s="52"/>
      <c r="K631" s="52"/>
      <c r="L631" s="52"/>
    </row>
    <row r="632">
      <c r="C632" s="52"/>
      <c r="H632" s="52"/>
      <c r="I632" s="52"/>
      <c r="J632" s="52"/>
      <c r="K632" s="52"/>
      <c r="L632" s="52"/>
    </row>
    <row r="633">
      <c r="C633" s="52"/>
      <c r="H633" s="52"/>
      <c r="I633" s="52"/>
      <c r="J633" s="52"/>
      <c r="K633" s="52"/>
      <c r="L633" s="52"/>
    </row>
    <row r="634">
      <c r="C634" s="52"/>
      <c r="H634" s="52"/>
      <c r="I634" s="52"/>
      <c r="J634" s="52"/>
      <c r="K634" s="52"/>
      <c r="L634" s="52"/>
    </row>
    <row r="635">
      <c r="C635" s="52"/>
      <c r="H635" s="52"/>
      <c r="I635" s="52"/>
      <c r="J635" s="52"/>
      <c r="K635" s="52"/>
      <c r="L635" s="52"/>
    </row>
    <row r="636">
      <c r="C636" s="52"/>
      <c r="H636" s="52"/>
      <c r="I636" s="52"/>
      <c r="J636" s="52"/>
      <c r="K636" s="52"/>
      <c r="L636" s="52"/>
    </row>
    <row r="637">
      <c r="C637" s="52"/>
      <c r="H637" s="52"/>
      <c r="I637" s="52"/>
      <c r="J637" s="52"/>
      <c r="K637" s="52"/>
      <c r="L637" s="52"/>
    </row>
    <row r="638">
      <c r="C638" s="52"/>
      <c r="H638" s="52"/>
      <c r="I638" s="52"/>
      <c r="J638" s="52"/>
      <c r="K638" s="52"/>
      <c r="L638" s="52"/>
    </row>
    <row r="639">
      <c r="C639" s="52"/>
      <c r="H639" s="52"/>
      <c r="I639" s="52"/>
      <c r="J639" s="52"/>
      <c r="K639" s="52"/>
      <c r="L639" s="52"/>
    </row>
    <row r="640">
      <c r="C640" s="52"/>
      <c r="H640" s="52"/>
      <c r="I640" s="52"/>
      <c r="J640" s="52"/>
      <c r="K640" s="52"/>
      <c r="L640" s="52"/>
    </row>
    <row r="641">
      <c r="C641" s="52"/>
      <c r="H641" s="52"/>
      <c r="I641" s="52"/>
      <c r="J641" s="52"/>
      <c r="K641" s="52"/>
      <c r="L641" s="52"/>
    </row>
    <row r="642">
      <c r="C642" s="52"/>
      <c r="H642" s="52"/>
      <c r="I642" s="52"/>
      <c r="J642" s="52"/>
      <c r="K642" s="52"/>
      <c r="L642" s="52"/>
    </row>
    <row r="643">
      <c r="C643" s="52"/>
      <c r="H643" s="52"/>
      <c r="I643" s="52"/>
      <c r="J643" s="52"/>
      <c r="K643" s="52"/>
      <c r="L643" s="52"/>
    </row>
    <row r="644">
      <c r="C644" s="52"/>
      <c r="H644" s="52"/>
      <c r="I644" s="52"/>
      <c r="J644" s="52"/>
      <c r="K644" s="52"/>
      <c r="L644" s="52"/>
    </row>
    <row r="645">
      <c r="C645" s="52"/>
      <c r="H645" s="52"/>
      <c r="I645" s="52"/>
      <c r="J645" s="52"/>
      <c r="K645" s="52"/>
      <c r="L645" s="52"/>
    </row>
    <row r="646">
      <c r="C646" s="52"/>
      <c r="H646" s="52"/>
      <c r="I646" s="52"/>
      <c r="J646" s="52"/>
      <c r="K646" s="52"/>
      <c r="L646" s="52"/>
    </row>
    <row r="647">
      <c r="C647" s="52"/>
      <c r="H647" s="52"/>
      <c r="I647" s="52"/>
      <c r="J647" s="52"/>
      <c r="K647" s="52"/>
      <c r="L647" s="52"/>
    </row>
    <row r="648">
      <c r="C648" s="52"/>
      <c r="H648" s="52"/>
      <c r="I648" s="52"/>
      <c r="J648" s="52"/>
      <c r="K648" s="52"/>
      <c r="L648" s="52"/>
    </row>
    <row r="649">
      <c r="C649" s="52"/>
      <c r="H649" s="52"/>
      <c r="I649" s="52"/>
      <c r="J649" s="52"/>
      <c r="K649" s="52"/>
      <c r="L649" s="52"/>
    </row>
    <row r="650">
      <c r="C650" s="52"/>
      <c r="H650" s="52"/>
      <c r="I650" s="52"/>
      <c r="J650" s="52"/>
      <c r="K650" s="52"/>
      <c r="L650" s="52"/>
    </row>
    <row r="651">
      <c r="C651" s="52"/>
      <c r="H651" s="52"/>
      <c r="I651" s="52"/>
      <c r="J651" s="52"/>
      <c r="K651" s="52"/>
      <c r="L651" s="52"/>
    </row>
    <row r="652">
      <c r="C652" s="52"/>
      <c r="H652" s="52"/>
      <c r="I652" s="52"/>
      <c r="J652" s="52"/>
      <c r="K652" s="52"/>
      <c r="L652" s="52"/>
    </row>
    <row r="653">
      <c r="C653" s="52"/>
      <c r="H653" s="52"/>
      <c r="I653" s="52"/>
      <c r="J653" s="52"/>
      <c r="K653" s="52"/>
      <c r="L653" s="52"/>
    </row>
    <row r="654">
      <c r="C654" s="52"/>
      <c r="H654" s="52"/>
      <c r="I654" s="52"/>
      <c r="J654" s="52"/>
      <c r="K654" s="52"/>
      <c r="L654" s="52"/>
    </row>
    <row r="655">
      <c r="C655" s="52"/>
      <c r="H655" s="52"/>
      <c r="I655" s="52"/>
      <c r="J655" s="52"/>
      <c r="K655" s="52"/>
      <c r="L655" s="52"/>
    </row>
    <row r="656">
      <c r="C656" s="52"/>
      <c r="H656" s="52"/>
      <c r="I656" s="52"/>
      <c r="J656" s="52"/>
      <c r="K656" s="52"/>
      <c r="L656" s="52"/>
    </row>
    <row r="657">
      <c r="C657" s="52"/>
      <c r="H657" s="52"/>
      <c r="I657" s="52"/>
      <c r="J657" s="52"/>
      <c r="K657" s="52"/>
      <c r="L657" s="52"/>
    </row>
    <row r="658">
      <c r="C658" s="52"/>
      <c r="H658" s="52"/>
      <c r="I658" s="52"/>
      <c r="J658" s="52"/>
      <c r="K658" s="52"/>
      <c r="L658" s="52"/>
    </row>
    <row r="659">
      <c r="C659" s="52"/>
      <c r="H659" s="52"/>
      <c r="I659" s="52"/>
      <c r="J659" s="52"/>
      <c r="K659" s="52"/>
      <c r="L659" s="52"/>
    </row>
    <row r="660">
      <c r="C660" s="52"/>
      <c r="H660" s="52"/>
      <c r="I660" s="52"/>
      <c r="J660" s="52"/>
      <c r="K660" s="52"/>
      <c r="L660" s="52"/>
    </row>
    <row r="661">
      <c r="C661" s="52"/>
      <c r="H661" s="52"/>
      <c r="I661" s="52"/>
      <c r="J661" s="52"/>
      <c r="K661" s="52"/>
      <c r="L661" s="52"/>
    </row>
    <row r="662">
      <c r="C662" s="52"/>
      <c r="H662" s="52"/>
      <c r="I662" s="52"/>
      <c r="J662" s="52"/>
      <c r="K662" s="52"/>
      <c r="L662" s="52"/>
    </row>
    <row r="663">
      <c r="C663" s="52"/>
      <c r="H663" s="52"/>
      <c r="I663" s="52"/>
      <c r="J663" s="52"/>
      <c r="K663" s="52"/>
      <c r="L663" s="52"/>
    </row>
    <row r="664">
      <c r="C664" s="52"/>
      <c r="H664" s="52"/>
      <c r="I664" s="52"/>
      <c r="J664" s="52"/>
      <c r="K664" s="52"/>
      <c r="L664" s="52"/>
    </row>
    <row r="665">
      <c r="C665" s="52"/>
      <c r="H665" s="52"/>
      <c r="I665" s="52"/>
      <c r="J665" s="52"/>
      <c r="K665" s="52"/>
      <c r="L665" s="52"/>
    </row>
    <row r="666">
      <c r="C666" s="52"/>
      <c r="H666" s="52"/>
      <c r="I666" s="52"/>
      <c r="J666" s="52"/>
      <c r="K666" s="52"/>
      <c r="L666" s="52"/>
    </row>
    <row r="667">
      <c r="C667" s="52"/>
      <c r="H667" s="52"/>
      <c r="I667" s="52"/>
      <c r="J667" s="52"/>
      <c r="K667" s="52"/>
      <c r="L667" s="52"/>
    </row>
    <row r="668">
      <c r="C668" s="52"/>
      <c r="H668" s="52"/>
      <c r="I668" s="52"/>
      <c r="J668" s="52"/>
      <c r="K668" s="52"/>
      <c r="L668" s="52"/>
    </row>
    <row r="669">
      <c r="C669" s="52"/>
      <c r="H669" s="52"/>
      <c r="I669" s="52"/>
      <c r="J669" s="52"/>
      <c r="K669" s="52"/>
      <c r="L669" s="52"/>
    </row>
    <row r="670">
      <c r="C670" s="52"/>
      <c r="H670" s="52"/>
      <c r="I670" s="52"/>
      <c r="J670" s="52"/>
      <c r="K670" s="52"/>
      <c r="L670" s="52"/>
    </row>
    <row r="671">
      <c r="C671" s="52"/>
      <c r="H671" s="52"/>
      <c r="I671" s="52"/>
      <c r="J671" s="52"/>
      <c r="K671" s="52"/>
      <c r="L671" s="52"/>
    </row>
    <row r="672">
      <c r="C672" s="52"/>
      <c r="H672" s="52"/>
      <c r="I672" s="52"/>
      <c r="J672" s="52"/>
      <c r="K672" s="52"/>
      <c r="L672" s="52"/>
    </row>
    <row r="673">
      <c r="C673" s="52"/>
      <c r="H673" s="52"/>
      <c r="I673" s="52"/>
      <c r="J673" s="52"/>
      <c r="K673" s="52"/>
      <c r="L673" s="52"/>
    </row>
    <row r="674">
      <c r="C674" s="52"/>
      <c r="H674" s="52"/>
      <c r="I674" s="52"/>
      <c r="J674" s="52"/>
      <c r="K674" s="52"/>
      <c r="L674" s="52"/>
    </row>
    <row r="675">
      <c r="C675" s="52"/>
      <c r="H675" s="52"/>
      <c r="I675" s="52"/>
      <c r="J675" s="52"/>
      <c r="K675" s="52"/>
      <c r="L675" s="52"/>
    </row>
    <row r="676">
      <c r="C676" s="52"/>
      <c r="H676" s="52"/>
      <c r="I676" s="52"/>
      <c r="J676" s="52"/>
      <c r="K676" s="52"/>
      <c r="L676" s="52"/>
    </row>
    <row r="677">
      <c r="C677" s="52"/>
      <c r="H677" s="52"/>
      <c r="I677" s="52"/>
      <c r="J677" s="52"/>
      <c r="K677" s="52"/>
      <c r="L677" s="52"/>
    </row>
    <row r="678">
      <c r="C678" s="52"/>
      <c r="H678" s="52"/>
      <c r="I678" s="52"/>
      <c r="J678" s="52"/>
      <c r="K678" s="52"/>
      <c r="L678" s="52"/>
    </row>
    <row r="679">
      <c r="C679" s="52"/>
      <c r="H679" s="52"/>
      <c r="I679" s="52"/>
      <c r="J679" s="52"/>
      <c r="K679" s="52"/>
      <c r="L679" s="52"/>
    </row>
    <row r="680">
      <c r="C680" s="52"/>
      <c r="H680" s="52"/>
      <c r="I680" s="52"/>
      <c r="J680" s="52"/>
      <c r="K680" s="52"/>
      <c r="L680" s="52"/>
    </row>
    <row r="681">
      <c r="C681" s="52"/>
      <c r="H681" s="52"/>
      <c r="I681" s="52"/>
      <c r="J681" s="52"/>
      <c r="K681" s="52"/>
      <c r="L681" s="52"/>
    </row>
    <row r="682">
      <c r="C682" s="52"/>
      <c r="H682" s="52"/>
      <c r="I682" s="52"/>
      <c r="J682" s="52"/>
      <c r="K682" s="52"/>
      <c r="L682" s="52"/>
    </row>
    <row r="683">
      <c r="C683" s="52"/>
      <c r="H683" s="52"/>
      <c r="I683" s="52"/>
      <c r="J683" s="52"/>
      <c r="K683" s="52"/>
      <c r="L683" s="52"/>
    </row>
    <row r="684">
      <c r="C684" s="52"/>
      <c r="H684" s="52"/>
      <c r="I684" s="52"/>
      <c r="J684" s="52"/>
      <c r="K684" s="52"/>
      <c r="L684" s="52"/>
    </row>
    <row r="685">
      <c r="C685" s="52"/>
      <c r="H685" s="52"/>
      <c r="I685" s="52"/>
      <c r="J685" s="52"/>
      <c r="K685" s="52"/>
      <c r="L685" s="52"/>
    </row>
    <row r="686">
      <c r="C686" s="52"/>
      <c r="H686" s="52"/>
      <c r="I686" s="52"/>
      <c r="J686" s="52"/>
      <c r="K686" s="52"/>
      <c r="L686" s="52"/>
    </row>
    <row r="687">
      <c r="C687" s="52"/>
      <c r="H687" s="52"/>
      <c r="I687" s="52"/>
      <c r="J687" s="52"/>
      <c r="K687" s="52"/>
      <c r="L687" s="52"/>
    </row>
    <row r="688">
      <c r="C688" s="52"/>
      <c r="H688" s="52"/>
      <c r="I688" s="52"/>
      <c r="J688" s="52"/>
      <c r="K688" s="52"/>
      <c r="L688" s="52"/>
    </row>
    <row r="689">
      <c r="C689" s="52"/>
      <c r="H689" s="52"/>
      <c r="I689" s="52"/>
      <c r="J689" s="52"/>
      <c r="K689" s="52"/>
      <c r="L689" s="52"/>
    </row>
    <row r="690">
      <c r="C690" s="52"/>
      <c r="H690" s="52"/>
      <c r="I690" s="52"/>
      <c r="J690" s="52"/>
      <c r="K690" s="52"/>
      <c r="L690" s="52"/>
    </row>
    <row r="691">
      <c r="C691" s="52"/>
      <c r="H691" s="52"/>
      <c r="I691" s="52"/>
      <c r="J691" s="52"/>
      <c r="K691" s="52"/>
      <c r="L691" s="52"/>
    </row>
    <row r="692">
      <c r="C692" s="52"/>
      <c r="H692" s="52"/>
      <c r="I692" s="52"/>
      <c r="J692" s="52"/>
      <c r="K692" s="52"/>
      <c r="L692" s="52"/>
    </row>
    <row r="693">
      <c r="C693" s="52"/>
      <c r="H693" s="52"/>
      <c r="I693" s="52"/>
      <c r="J693" s="52"/>
      <c r="K693" s="52"/>
      <c r="L693" s="52"/>
    </row>
    <row r="694">
      <c r="C694" s="52"/>
      <c r="H694" s="52"/>
      <c r="I694" s="52"/>
      <c r="J694" s="52"/>
      <c r="K694" s="52"/>
      <c r="L694" s="52"/>
    </row>
    <row r="695">
      <c r="C695" s="52"/>
      <c r="H695" s="52"/>
      <c r="I695" s="52"/>
      <c r="J695" s="52"/>
      <c r="K695" s="52"/>
      <c r="L695" s="52"/>
    </row>
    <row r="696">
      <c r="C696" s="52"/>
      <c r="H696" s="52"/>
      <c r="I696" s="52"/>
      <c r="J696" s="52"/>
      <c r="K696" s="52"/>
      <c r="L696" s="52"/>
    </row>
    <row r="697">
      <c r="C697" s="52"/>
      <c r="H697" s="52"/>
      <c r="I697" s="52"/>
      <c r="J697" s="52"/>
      <c r="K697" s="52"/>
      <c r="L697" s="52"/>
    </row>
    <row r="698">
      <c r="C698" s="52"/>
      <c r="H698" s="52"/>
      <c r="I698" s="52"/>
      <c r="J698" s="52"/>
      <c r="K698" s="52"/>
      <c r="L698" s="52"/>
    </row>
    <row r="699">
      <c r="C699" s="52"/>
      <c r="H699" s="52"/>
      <c r="I699" s="52"/>
      <c r="J699" s="52"/>
      <c r="K699" s="52"/>
      <c r="L699" s="52"/>
    </row>
    <row r="700">
      <c r="C700" s="52"/>
      <c r="H700" s="52"/>
      <c r="I700" s="52"/>
      <c r="J700" s="52"/>
      <c r="K700" s="52"/>
      <c r="L700" s="52"/>
    </row>
    <row r="701">
      <c r="C701" s="52"/>
      <c r="H701" s="52"/>
      <c r="I701" s="52"/>
      <c r="J701" s="52"/>
      <c r="K701" s="52"/>
      <c r="L701" s="52"/>
    </row>
    <row r="702">
      <c r="C702" s="52"/>
      <c r="H702" s="52"/>
      <c r="I702" s="52"/>
      <c r="J702" s="52"/>
      <c r="K702" s="52"/>
      <c r="L702" s="52"/>
    </row>
    <row r="703">
      <c r="C703" s="52"/>
      <c r="H703" s="52"/>
      <c r="I703" s="52"/>
      <c r="J703" s="52"/>
      <c r="K703" s="52"/>
      <c r="L703" s="52"/>
    </row>
    <row r="704">
      <c r="C704" s="52"/>
      <c r="H704" s="52"/>
      <c r="I704" s="52"/>
      <c r="J704" s="52"/>
      <c r="K704" s="52"/>
      <c r="L704" s="52"/>
    </row>
    <row r="705">
      <c r="C705" s="52"/>
      <c r="H705" s="52"/>
      <c r="I705" s="52"/>
      <c r="J705" s="52"/>
      <c r="K705" s="52"/>
      <c r="L705" s="52"/>
    </row>
    <row r="706">
      <c r="C706" s="52"/>
      <c r="H706" s="52"/>
      <c r="I706" s="52"/>
      <c r="J706" s="52"/>
      <c r="K706" s="52"/>
      <c r="L706" s="52"/>
    </row>
    <row r="707">
      <c r="C707" s="52"/>
      <c r="H707" s="52"/>
      <c r="I707" s="52"/>
      <c r="J707" s="52"/>
      <c r="K707" s="52"/>
      <c r="L707" s="52"/>
    </row>
    <row r="708">
      <c r="C708" s="52"/>
      <c r="H708" s="52"/>
      <c r="I708" s="52"/>
      <c r="J708" s="52"/>
      <c r="K708" s="52"/>
      <c r="L708" s="52"/>
    </row>
    <row r="709">
      <c r="C709" s="52"/>
      <c r="H709" s="52"/>
      <c r="I709" s="52"/>
      <c r="J709" s="52"/>
      <c r="K709" s="52"/>
      <c r="L709" s="52"/>
    </row>
    <row r="710">
      <c r="C710" s="52"/>
      <c r="H710" s="52"/>
      <c r="I710" s="52"/>
      <c r="J710" s="52"/>
      <c r="K710" s="52"/>
      <c r="L710" s="52"/>
    </row>
    <row r="711">
      <c r="C711" s="52"/>
      <c r="H711" s="52"/>
      <c r="I711" s="52"/>
      <c r="J711" s="52"/>
      <c r="K711" s="52"/>
      <c r="L711" s="52"/>
    </row>
    <row r="712">
      <c r="C712" s="52"/>
      <c r="H712" s="52"/>
      <c r="I712" s="52"/>
      <c r="J712" s="52"/>
      <c r="K712" s="52"/>
      <c r="L712" s="52"/>
    </row>
    <row r="713">
      <c r="C713" s="52"/>
      <c r="H713" s="52"/>
      <c r="I713" s="52"/>
      <c r="J713" s="52"/>
      <c r="K713" s="52"/>
      <c r="L713" s="52"/>
    </row>
    <row r="714">
      <c r="C714" s="52"/>
      <c r="H714" s="52"/>
      <c r="I714" s="52"/>
      <c r="J714" s="52"/>
      <c r="K714" s="52"/>
      <c r="L714" s="52"/>
    </row>
    <row r="715">
      <c r="C715" s="52"/>
      <c r="H715" s="52"/>
      <c r="I715" s="52"/>
      <c r="J715" s="52"/>
      <c r="K715" s="52"/>
      <c r="L715" s="52"/>
    </row>
    <row r="716">
      <c r="C716" s="52"/>
      <c r="H716" s="52"/>
      <c r="I716" s="52"/>
      <c r="J716" s="52"/>
      <c r="K716" s="52"/>
      <c r="L716" s="52"/>
    </row>
    <row r="717">
      <c r="C717" s="52"/>
      <c r="H717" s="52"/>
      <c r="I717" s="52"/>
      <c r="J717" s="52"/>
      <c r="K717" s="52"/>
      <c r="L717" s="52"/>
    </row>
    <row r="718">
      <c r="C718" s="52"/>
      <c r="H718" s="52"/>
      <c r="I718" s="52"/>
      <c r="J718" s="52"/>
      <c r="K718" s="52"/>
      <c r="L718" s="52"/>
    </row>
    <row r="719">
      <c r="C719" s="52"/>
      <c r="H719" s="52"/>
      <c r="I719" s="52"/>
      <c r="J719" s="52"/>
      <c r="K719" s="52"/>
      <c r="L719" s="52"/>
    </row>
    <row r="720">
      <c r="C720" s="52"/>
      <c r="H720" s="52"/>
      <c r="I720" s="52"/>
      <c r="J720" s="52"/>
      <c r="K720" s="52"/>
      <c r="L720" s="52"/>
    </row>
    <row r="721">
      <c r="C721" s="52"/>
      <c r="H721" s="52"/>
      <c r="I721" s="52"/>
      <c r="J721" s="52"/>
      <c r="K721" s="52"/>
      <c r="L721" s="52"/>
    </row>
    <row r="722">
      <c r="C722" s="52"/>
      <c r="H722" s="52"/>
      <c r="I722" s="52"/>
      <c r="J722" s="52"/>
      <c r="K722" s="52"/>
      <c r="L722" s="52"/>
    </row>
    <row r="723">
      <c r="C723" s="52"/>
      <c r="H723" s="52"/>
      <c r="I723" s="52"/>
      <c r="J723" s="52"/>
      <c r="K723" s="52"/>
      <c r="L723" s="52"/>
    </row>
    <row r="724">
      <c r="C724" s="52"/>
      <c r="H724" s="52"/>
      <c r="I724" s="52"/>
      <c r="J724" s="52"/>
      <c r="K724" s="52"/>
      <c r="L724" s="52"/>
    </row>
    <row r="725">
      <c r="C725" s="52"/>
      <c r="H725" s="52"/>
      <c r="I725" s="52"/>
      <c r="J725" s="52"/>
      <c r="K725" s="52"/>
      <c r="L725" s="52"/>
    </row>
    <row r="726">
      <c r="C726" s="52"/>
      <c r="H726" s="52"/>
      <c r="I726" s="52"/>
      <c r="J726" s="52"/>
      <c r="K726" s="52"/>
      <c r="L726" s="52"/>
    </row>
    <row r="727">
      <c r="C727" s="52"/>
      <c r="H727" s="52"/>
      <c r="I727" s="52"/>
      <c r="J727" s="52"/>
      <c r="K727" s="52"/>
      <c r="L727" s="52"/>
    </row>
    <row r="728">
      <c r="C728" s="52"/>
      <c r="H728" s="52"/>
      <c r="I728" s="52"/>
      <c r="J728" s="52"/>
      <c r="K728" s="52"/>
      <c r="L728" s="52"/>
    </row>
    <row r="729">
      <c r="C729" s="52"/>
      <c r="H729" s="52"/>
      <c r="I729" s="52"/>
      <c r="J729" s="52"/>
      <c r="K729" s="52"/>
      <c r="L729" s="52"/>
    </row>
    <row r="730">
      <c r="C730" s="52"/>
      <c r="H730" s="52"/>
      <c r="I730" s="52"/>
      <c r="J730" s="52"/>
      <c r="K730" s="52"/>
      <c r="L730" s="52"/>
    </row>
    <row r="731">
      <c r="C731" s="52"/>
      <c r="H731" s="52"/>
      <c r="I731" s="52"/>
      <c r="J731" s="52"/>
      <c r="K731" s="52"/>
      <c r="L731" s="52"/>
    </row>
    <row r="732">
      <c r="C732" s="52"/>
      <c r="H732" s="52"/>
      <c r="I732" s="52"/>
      <c r="J732" s="52"/>
      <c r="K732" s="52"/>
      <c r="L732" s="52"/>
    </row>
    <row r="733">
      <c r="C733" s="52"/>
      <c r="H733" s="52"/>
      <c r="I733" s="52"/>
      <c r="J733" s="52"/>
      <c r="K733" s="52"/>
      <c r="L733" s="52"/>
    </row>
    <row r="734">
      <c r="C734" s="52"/>
      <c r="H734" s="52"/>
      <c r="I734" s="52"/>
      <c r="J734" s="52"/>
      <c r="K734" s="52"/>
      <c r="L734" s="52"/>
    </row>
    <row r="735">
      <c r="C735" s="52"/>
      <c r="H735" s="52"/>
      <c r="I735" s="52"/>
      <c r="J735" s="52"/>
      <c r="K735" s="52"/>
      <c r="L735" s="52"/>
    </row>
    <row r="736">
      <c r="C736" s="52"/>
      <c r="H736" s="52"/>
      <c r="I736" s="52"/>
      <c r="J736" s="52"/>
      <c r="K736" s="52"/>
      <c r="L736" s="52"/>
    </row>
    <row r="737">
      <c r="C737" s="52"/>
      <c r="H737" s="52"/>
      <c r="I737" s="52"/>
      <c r="J737" s="52"/>
      <c r="K737" s="52"/>
      <c r="L737" s="52"/>
    </row>
    <row r="738">
      <c r="C738" s="52"/>
      <c r="H738" s="52"/>
      <c r="I738" s="52"/>
      <c r="J738" s="52"/>
      <c r="K738" s="52"/>
      <c r="L738" s="52"/>
    </row>
    <row r="739">
      <c r="C739" s="52"/>
      <c r="H739" s="52"/>
      <c r="I739" s="52"/>
      <c r="J739" s="52"/>
      <c r="K739" s="52"/>
      <c r="L739" s="52"/>
    </row>
    <row r="740">
      <c r="C740" s="52"/>
      <c r="H740" s="52"/>
      <c r="I740" s="52"/>
      <c r="J740" s="52"/>
      <c r="K740" s="52"/>
      <c r="L740" s="52"/>
    </row>
    <row r="741">
      <c r="C741" s="52"/>
      <c r="H741" s="52"/>
      <c r="I741" s="52"/>
      <c r="J741" s="52"/>
      <c r="K741" s="52"/>
      <c r="L741" s="52"/>
    </row>
    <row r="742">
      <c r="C742" s="52"/>
      <c r="H742" s="52"/>
      <c r="I742" s="52"/>
      <c r="J742" s="52"/>
      <c r="K742" s="52"/>
      <c r="L742" s="52"/>
    </row>
    <row r="743">
      <c r="C743" s="52"/>
      <c r="H743" s="52"/>
      <c r="I743" s="52"/>
      <c r="J743" s="52"/>
      <c r="K743" s="52"/>
      <c r="L743" s="52"/>
    </row>
    <row r="744">
      <c r="C744" s="52"/>
      <c r="H744" s="52"/>
      <c r="I744" s="52"/>
      <c r="J744" s="52"/>
      <c r="K744" s="52"/>
      <c r="L744" s="52"/>
    </row>
    <row r="745">
      <c r="C745" s="52"/>
      <c r="H745" s="52"/>
      <c r="I745" s="52"/>
      <c r="J745" s="52"/>
      <c r="K745" s="52"/>
      <c r="L745" s="52"/>
    </row>
    <row r="746">
      <c r="C746" s="52"/>
      <c r="H746" s="52"/>
      <c r="I746" s="52"/>
      <c r="J746" s="52"/>
      <c r="K746" s="52"/>
      <c r="L746" s="52"/>
    </row>
    <row r="747">
      <c r="C747" s="52"/>
      <c r="H747" s="52"/>
      <c r="I747" s="52"/>
      <c r="J747" s="52"/>
      <c r="K747" s="52"/>
      <c r="L747" s="52"/>
    </row>
    <row r="748">
      <c r="C748" s="52"/>
      <c r="H748" s="52"/>
      <c r="I748" s="52"/>
      <c r="J748" s="52"/>
      <c r="K748" s="52"/>
      <c r="L748" s="52"/>
    </row>
    <row r="749">
      <c r="C749" s="52"/>
      <c r="H749" s="52"/>
      <c r="I749" s="52"/>
      <c r="J749" s="52"/>
      <c r="K749" s="52"/>
      <c r="L749" s="52"/>
    </row>
    <row r="750">
      <c r="C750" s="52"/>
      <c r="H750" s="52"/>
      <c r="I750" s="52"/>
      <c r="J750" s="52"/>
      <c r="K750" s="52"/>
      <c r="L750" s="52"/>
    </row>
    <row r="751">
      <c r="C751" s="52"/>
      <c r="H751" s="52"/>
      <c r="I751" s="52"/>
      <c r="J751" s="52"/>
      <c r="K751" s="52"/>
      <c r="L751" s="52"/>
    </row>
    <row r="752">
      <c r="C752" s="52"/>
      <c r="H752" s="52"/>
      <c r="I752" s="52"/>
      <c r="J752" s="52"/>
      <c r="K752" s="52"/>
      <c r="L752" s="52"/>
    </row>
    <row r="753">
      <c r="C753" s="52"/>
      <c r="H753" s="52"/>
      <c r="I753" s="52"/>
      <c r="J753" s="52"/>
      <c r="K753" s="52"/>
      <c r="L753" s="52"/>
    </row>
    <row r="754">
      <c r="C754" s="52"/>
      <c r="H754" s="52"/>
      <c r="I754" s="52"/>
      <c r="J754" s="52"/>
      <c r="K754" s="52"/>
      <c r="L754" s="52"/>
    </row>
    <row r="755">
      <c r="C755" s="52"/>
      <c r="H755" s="52"/>
      <c r="I755" s="52"/>
      <c r="J755" s="52"/>
      <c r="K755" s="52"/>
      <c r="L755" s="52"/>
    </row>
    <row r="756">
      <c r="C756" s="52"/>
      <c r="H756" s="52"/>
      <c r="I756" s="52"/>
      <c r="J756" s="52"/>
      <c r="K756" s="52"/>
      <c r="L756" s="52"/>
    </row>
    <row r="757">
      <c r="C757" s="52"/>
      <c r="H757" s="52"/>
      <c r="I757" s="52"/>
      <c r="J757" s="52"/>
      <c r="K757" s="52"/>
      <c r="L757" s="52"/>
    </row>
    <row r="758">
      <c r="C758" s="52"/>
      <c r="H758" s="52"/>
      <c r="I758" s="52"/>
      <c r="J758" s="52"/>
      <c r="K758" s="52"/>
      <c r="L758" s="52"/>
    </row>
    <row r="759">
      <c r="C759" s="52"/>
      <c r="H759" s="52"/>
      <c r="I759" s="52"/>
      <c r="J759" s="52"/>
      <c r="K759" s="52"/>
      <c r="L759" s="52"/>
    </row>
    <row r="760">
      <c r="C760" s="52"/>
      <c r="H760" s="52"/>
      <c r="I760" s="52"/>
      <c r="J760" s="52"/>
      <c r="K760" s="52"/>
      <c r="L760" s="52"/>
    </row>
    <row r="761">
      <c r="C761" s="52"/>
      <c r="H761" s="52"/>
      <c r="I761" s="52"/>
      <c r="J761" s="52"/>
      <c r="K761" s="52"/>
      <c r="L761" s="52"/>
    </row>
    <row r="762">
      <c r="C762" s="52"/>
      <c r="H762" s="52"/>
      <c r="I762" s="52"/>
      <c r="J762" s="52"/>
      <c r="K762" s="52"/>
      <c r="L762" s="52"/>
    </row>
    <row r="763">
      <c r="C763" s="52"/>
      <c r="H763" s="52"/>
      <c r="I763" s="52"/>
      <c r="J763" s="52"/>
      <c r="K763" s="52"/>
      <c r="L763" s="52"/>
    </row>
    <row r="764">
      <c r="C764" s="52"/>
      <c r="H764" s="52"/>
      <c r="I764" s="52"/>
      <c r="J764" s="52"/>
      <c r="K764" s="52"/>
      <c r="L764" s="52"/>
    </row>
    <row r="765">
      <c r="C765" s="52"/>
      <c r="H765" s="52"/>
      <c r="I765" s="52"/>
      <c r="J765" s="52"/>
      <c r="K765" s="52"/>
      <c r="L765" s="52"/>
    </row>
    <row r="766">
      <c r="C766" s="52"/>
      <c r="H766" s="52"/>
      <c r="I766" s="52"/>
      <c r="J766" s="52"/>
      <c r="K766" s="52"/>
      <c r="L766" s="52"/>
    </row>
    <row r="767">
      <c r="C767" s="52"/>
      <c r="H767" s="52"/>
      <c r="I767" s="52"/>
      <c r="J767" s="52"/>
      <c r="K767" s="52"/>
      <c r="L767" s="52"/>
    </row>
    <row r="768">
      <c r="C768" s="52"/>
      <c r="H768" s="52"/>
      <c r="I768" s="52"/>
      <c r="J768" s="52"/>
      <c r="K768" s="52"/>
      <c r="L768" s="52"/>
    </row>
    <row r="769">
      <c r="C769" s="52"/>
      <c r="H769" s="52"/>
      <c r="I769" s="52"/>
      <c r="J769" s="52"/>
      <c r="K769" s="52"/>
      <c r="L769" s="52"/>
    </row>
    <row r="770">
      <c r="C770" s="52"/>
      <c r="H770" s="52"/>
      <c r="I770" s="52"/>
      <c r="J770" s="52"/>
      <c r="K770" s="52"/>
      <c r="L770" s="52"/>
    </row>
    <row r="771">
      <c r="C771" s="52"/>
      <c r="H771" s="52"/>
      <c r="I771" s="52"/>
      <c r="J771" s="52"/>
      <c r="K771" s="52"/>
      <c r="L771" s="52"/>
    </row>
    <row r="772">
      <c r="C772" s="52"/>
      <c r="H772" s="52"/>
      <c r="I772" s="52"/>
      <c r="J772" s="52"/>
      <c r="K772" s="52"/>
      <c r="L772" s="52"/>
    </row>
    <row r="773">
      <c r="C773" s="52"/>
      <c r="H773" s="52"/>
      <c r="I773" s="52"/>
      <c r="J773" s="52"/>
      <c r="K773" s="52"/>
      <c r="L773" s="52"/>
    </row>
    <row r="774">
      <c r="C774" s="52"/>
      <c r="H774" s="52"/>
      <c r="I774" s="52"/>
      <c r="J774" s="52"/>
      <c r="K774" s="52"/>
      <c r="L774" s="52"/>
    </row>
    <row r="775">
      <c r="C775" s="52"/>
      <c r="H775" s="52"/>
      <c r="I775" s="52"/>
      <c r="J775" s="52"/>
      <c r="K775" s="52"/>
      <c r="L775" s="52"/>
    </row>
    <row r="776">
      <c r="C776" s="52"/>
      <c r="H776" s="52"/>
      <c r="I776" s="52"/>
      <c r="J776" s="52"/>
      <c r="K776" s="52"/>
      <c r="L776" s="52"/>
    </row>
    <row r="777">
      <c r="C777" s="52"/>
      <c r="H777" s="52"/>
      <c r="I777" s="52"/>
      <c r="J777" s="52"/>
      <c r="K777" s="52"/>
      <c r="L777" s="52"/>
    </row>
    <row r="778">
      <c r="C778" s="52"/>
      <c r="H778" s="52"/>
      <c r="I778" s="52"/>
      <c r="J778" s="52"/>
      <c r="K778" s="52"/>
      <c r="L778" s="52"/>
    </row>
    <row r="779">
      <c r="C779" s="52"/>
      <c r="H779" s="52"/>
      <c r="I779" s="52"/>
      <c r="J779" s="52"/>
      <c r="K779" s="52"/>
      <c r="L779" s="52"/>
    </row>
    <row r="780">
      <c r="C780" s="52"/>
      <c r="H780" s="52"/>
      <c r="I780" s="52"/>
      <c r="J780" s="52"/>
      <c r="K780" s="52"/>
      <c r="L780" s="52"/>
    </row>
    <row r="781">
      <c r="C781" s="52"/>
      <c r="H781" s="52"/>
      <c r="I781" s="52"/>
      <c r="J781" s="52"/>
      <c r="K781" s="52"/>
      <c r="L781" s="52"/>
    </row>
    <row r="782">
      <c r="C782" s="52"/>
      <c r="H782" s="52"/>
      <c r="I782" s="52"/>
      <c r="J782" s="52"/>
      <c r="K782" s="52"/>
      <c r="L782" s="52"/>
    </row>
    <row r="783">
      <c r="C783" s="52"/>
      <c r="H783" s="52"/>
      <c r="I783" s="52"/>
      <c r="J783" s="52"/>
      <c r="K783" s="52"/>
      <c r="L783" s="52"/>
    </row>
    <row r="784">
      <c r="C784" s="52"/>
      <c r="H784" s="52"/>
      <c r="I784" s="52"/>
      <c r="J784" s="52"/>
      <c r="K784" s="52"/>
      <c r="L784" s="52"/>
    </row>
    <row r="785">
      <c r="C785" s="52"/>
      <c r="H785" s="52"/>
      <c r="I785" s="52"/>
      <c r="J785" s="52"/>
      <c r="K785" s="52"/>
      <c r="L785" s="52"/>
    </row>
    <row r="786">
      <c r="C786" s="52"/>
      <c r="H786" s="52"/>
      <c r="I786" s="52"/>
      <c r="J786" s="52"/>
      <c r="K786" s="52"/>
      <c r="L786" s="52"/>
    </row>
    <row r="787">
      <c r="C787" s="52"/>
      <c r="H787" s="52"/>
      <c r="I787" s="52"/>
      <c r="J787" s="52"/>
      <c r="K787" s="52"/>
      <c r="L787" s="52"/>
    </row>
    <row r="788">
      <c r="C788" s="52"/>
      <c r="H788" s="52"/>
      <c r="I788" s="52"/>
      <c r="J788" s="52"/>
      <c r="K788" s="52"/>
      <c r="L788" s="52"/>
    </row>
    <row r="789">
      <c r="C789" s="52"/>
      <c r="H789" s="52"/>
      <c r="I789" s="52"/>
      <c r="J789" s="52"/>
      <c r="K789" s="52"/>
      <c r="L789" s="52"/>
    </row>
    <row r="790">
      <c r="C790" s="52"/>
      <c r="H790" s="52"/>
      <c r="I790" s="52"/>
      <c r="J790" s="52"/>
      <c r="K790" s="52"/>
      <c r="L790" s="52"/>
    </row>
    <row r="791">
      <c r="C791" s="52"/>
      <c r="H791" s="52"/>
      <c r="I791" s="52"/>
      <c r="J791" s="52"/>
      <c r="K791" s="52"/>
      <c r="L791" s="52"/>
    </row>
    <row r="792">
      <c r="C792" s="52"/>
      <c r="H792" s="52"/>
      <c r="I792" s="52"/>
      <c r="J792" s="52"/>
      <c r="K792" s="52"/>
      <c r="L792" s="52"/>
    </row>
    <row r="793">
      <c r="C793" s="52"/>
      <c r="H793" s="52"/>
      <c r="I793" s="52"/>
      <c r="J793" s="52"/>
      <c r="K793" s="52"/>
      <c r="L793" s="52"/>
    </row>
    <row r="794">
      <c r="C794" s="52"/>
      <c r="H794" s="52"/>
      <c r="I794" s="52"/>
      <c r="J794" s="52"/>
      <c r="K794" s="52"/>
      <c r="L794" s="52"/>
    </row>
    <row r="795">
      <c r="C795" s="52"/>
      <c r="H795" s="52"/>
      <c r="I795" s="52"/>
      <c r="J795" s="52"/>
      <c r="K795" s="52"/>
      <c r="L795" s="52"/>
    </row>
    <row r="796">
      <c r="C796" s="52"/>
      <c r="H796" s="52"/>
      <c r="I796" s="52"/>
      <c r="J796" s="52"/>
      <c r="K796" s="52"/>
      <c r="L796" s="52"/>
    </row>
    <row r="797">
      <c r="C797" s="52"/>
      <c r="H797" s="52"/>
      <c r="I797" s="52"/>
      <c r="J797" s="52"/>
      <c r="K797" s="52"/>
      <c r="L797" s="52"/>
    </row>
    <row r="798">
      <c r="C798" s="52"/>
      <c r="H798" s="52"/>
      <c r="I798" s="52"/>
      <c r="J798" s="52"/>
      <c r="K798" s="52"/>
      <c r="L798" s="52"/>
    </row>
    <row r="799">
      <c r="C799" s="52"/>
      <c r="H799" s="52"/>
      <c r="I799" s="52"/>
      <c r="J799" s="52"/>
      <c r="K799" s="52"/>
      <c r="L799" s="52"/>
    </row>
    <row r="800">
      <c r="C800" s="52"/>
      <c r="H800" s="52"/>
      <c r="I800" s="52"/>
      <c r="J800" s="52"/>
      <c r="K800" s="52"/>
      <c r="L800" s="52"/>
    </row>
    <row r="801">
      <c r="C801" s="52"/>
      <c r="H801" s="52"/>
      <c r="I801" s="52"/>
      <c r="J801" s="52"/>
      <c r="K801" s="52"/>
      <c r="L801" s="52"/>
    </row>
    <row r="802">
      <c r="C802" s="52"/>
      <c r="H802" s="52"/>
      <c r="I802" s="52"/>
      <c r="J802" s="52"/>
      <c r="K802" s="52"/>
      <c r="L802" s="52"/>
    </row>
    <row r="803">
      <c r="C803" s="52"/>
      <c r="H803" s="52"/>
      <c r="I803" s="52"/>
      <c r="J803" s="52"/>
      <c r="K803" s="52"/>
      <c r="L803" s="52"/>
    </row>
    <row r="804">
      <c r="C804" s="52"/>
      <c r="H804" s="52"/>
      <c r="I804" s="52"/>
      <c r="J804" s="52"/>
      <c r="K804" s="52"/>
      <c r="L804" s="52"/>
    </row>
    <row r="805">
      <c r="C805" s="52"/>
      <c r="H805" s="52"/>
      <c r="I805" s="52"/>
      <c r="J805" s="52"/>
      <c r="K805" s="52"/>
      <c r="L805" s="52"/>
    </row>
    <row r="806">
      <c r="C806" s="52"/>
      <c r="H806" s="52"/>
      <c r="I806" s="52"/>
      <c r="J806" s="52"/>
      <c r="K806" s="52"/>
      <c r="L806" s="52"/>
    </row>
    <row r="807">
      <c r="C807" s="52"/>
      <c r="H807" s="52"/>
      <c r="I807" s="52"/>
      <c r="J807" s="52"/>
      <c r="K807" s="52"/>
      <c r="L807" s="52"/>
    </row>
    <row r="808">
      <c r="C808" s="52"/>
      <c r="H808" s="52"/>
      <c r="I808" s="52"/>
      <c r="J808" s="52"/>
      <c r="K808" s="52"/>
      <c r="L808" s="52"/>
    </row>
    <row r="809">
      <c r="C809" s="52"/>
      <c r="H809" s="52"/>
      <c r="I809" s="52"/>
      <c r="J809" s="52"/>
      <c r="K809" s="52"/>
      <c r="L809" s="52"/>
    </row>
    <row r="810">
      <c r="C810" s="52"/>
      <c r="H810" s="52"/>
      <c r="I810" s="52"/>
      <c r="J810" s="52"/>
      <c r="K810" s="52"/>
      <c r="L810" s="52"/>
    </row>
    <row r="811">
      <c r="C811" s="52"/>
      <c r="H811" s="52"/>
      <c r="I811" s="52"/>
      <c r="J811" s="52"/>
      <c r="K811" s="52"/>
      <c r="L811" s="52"/>
    </row>
    <row r="812">
      <c r="C812" s="52"/>
      <c r="H812" s="52"/>
      <c r="I812" s="52"/>
      <c r="J812" s="52"/>
      <c r="K812" s="52"/>
      <c r="L812" s="52"/>
    </row>
    <row r="813">
      <c r="C813" s="52"/>
      <c r="H813" s="52"/>
      <c r="I813" s="52"/>
      <c r="J813" s="52"/>
      <c r="K813" s="52"/>
      <c r="L813" s="52"/>
    </row>
    <row r="814">
      <c r="C814" s="52"/>
      <c r="H814" s="52"/>
      <c r="I814" s="52"/>
      <c r="J814" s="52"/>
      <c r="K814" s="52"/>
      <c r="L814" s="52"/>
    </row>
    <row r="815">
      <c r="C815" s="52"/>
      <c r="H815" s="52"/>
      <c r="I815" s="52"/>
      <c r="J815" s="52"/>
      <c r="K815" s="52"/>
      <c r="L815" s="52"/>
    </row>
    <row r="816">
      <c r="C816" s="52"/>
      <c r="H816" s="52"/>
      <c r="I816" s="52"/>
      <c r="J816" s="52"/>
      <c r="K816" s="52"/>
      <c r="L816" s="52"/>
    </row>
    <row r="817">
      <c r="C817" s="52"/>
      <c r="H817" s="52"/>
      <c r="I817" s="52"/>
      <c r="J817" s="52"/>
      <c r="K817" s="52"/>
      <c r="L817" s="52"/>
    </row>
    <row r="818">
      <c r="C818" s="52"/>
      <c r="H818" s="52"/>
      <c r="I818" s="52"/>
      <c r="J818" s="52"/>
      <c r="K818" s="52"/>
      <c r="L818" s="52"/>
    </row>
    <row r="819">
      <c r="C819" s="52"/>
      <c r="H819" s="52"/>
      <c r="I819" s="52"/>
      <c r="J819" s="52"/>
      <c r="K819" s="52"/>
      <c r="L819" s="52"/>
    </row>
    <row r="820">
      <c r="C820" s="52"/>
      <c r="H820" s="52"/>
      <c r="I820" s="52"/>
      <c r="J820" s="52"/>
      <c r="K820" s="52"/>
      <c r="L820" s="52"/>
    </row>
    <row r="821">
      <c r="C821" s="52"/>
      <c r="H821" s="52"/>
      <c r="I821" s="52"/>
      <c r="J821" s="52"/>
      <c r="K821" s="52"/>
      <c r="L821" s="52"/>
    </row>
    <row r="822">
      <c r="C822" s="52"/>
      <c r="H822" s="52"/>
      <c r="I822" s="52"/>
      <c r="J822" s="52"/>
      <c r="K822" s="52"/>
      <c r="L822" s="52"/>
    </row>
    <row r="823">
      <c r="C823" s="52"/>
      <c r="H823" s="52"/>
      <c r="I823" s="52"/>
      <c r="J823" s="52"/>
      <c r="K823" s="52"/>
      <c r="L823" s="52"/>
    </row>
    <row r="824">
      <c r="C824" s="52"/>
      <c r="H824" s="52"/>
      <c r="I824" s="52"/>
      <c r="J824" s="52"/>
      <c r="K824" s="52"/>
      <c r="L824" s="52"/>
    </row>
    <row r="825">
      <c r="C825" s="52"/>
      <c r="H825" s="52"/>
      <c r="I825" s="52"/>
      <c r="J825" s="52"/>
      <c r="K825" s="52"/>
      <c r="L825" s="52"/>
    </row>
    <row r="826">
      <c r="C826" s="52"/>
      <c r="H826" s="52"/>
      <c r="I826" s="52"/>
      <c r="J826" s="52"/>
      <c r="K826" s="52"/>
      <c r="L826" s="52"/>
    </row>
    <row r="827">
      <c r="C827" s="52"/>
      <c r="H827" s="52"/>
      <c r="I827" s="52"/>
      <c r="J827" s="52"/>
      <c r="K827" s="52"/>
      <c r="L827" s="52"/>
    </row>
    <row r="828">
      <c r="C828" s="52"/>
      <c r="H828" s="52"/>
      <c r="I828" s="52"/>
      <c r="J828" s="52"/>
      <c r="K828" s="52"/>
      <c r="L828" s="52"/>
    </row>
    <row r="829">
      <c r="C829" s="52"/>
      <c r="H829" s="52"/>
      <c r="I829" s="52"/>
      <c r="J829" s="52"/>
      <c r="K829" s="52"/>
      <c r="L829" s="52"/>
    </row>
    <row r="830">
      <c r="C830" s="52"/>
      <c r="H830" s="52"/>
      <c r="I830" s="52"/>
      <c r="J830" s="52"/>
      <c r="K830" s="52"/>
      <c r="L830" s="52"/>
    </row>
    <row r="831">
      <c r="C831" s="52"/>
      <c r="H831" s="52"/>
      <c r="I831" s="52"/>
      <c r="J831" s="52"/>
      <c r="K831" s="52"/>
      <c r="L831" s="52"/>
    </row>
    <row r="832">
      <c r="C832" s="52"/>
      <c r="H832" s="52"/>
      <c r="I832" s="52"/>
      <c r="J832" s="52"/>
      <c r="K832" s="52"/>
      <c r="L832" s="52"/>
    </row>
    <row r="833">
      <c r="C833" s="52"/>
      <c r="H833" s="52"/>
      <c r="I833" s="52"/>
      <c r="J833" s="52"/>
      <c r="K833" s="52"/>
      <c r="L833" s="52"/>
    </row>
    <row r="834">
      <c r="C834" s="52"/>
      <c r="H834" s="52"/>
      <c r="I834" s="52"/>
      <c r="J834" s="52"/>
      <c r="K834" s="52"/>
      <c r="L834" s="52"/>
    </row>
    <row r="835">
      <c r="C835" s="52"/>
      <c r="H835" s="52"/>
      <c r="I835" s="52"/>
      <c r="J835" s="52"/>
      <c r="K835" s="52"/>
      <c r="L835" s="52"/>
    </row>
    <row r="836">
      <c r="C836" s="52"/>
      <c r="H836" s="52"/>
      <c r="I836" s="52"/>
      <c r="J836" s="52"/>
      <c r="K836" s="52"/>
      <c r="L836" s="52"/>
    </row>
    <row r="837">
      <c r="C837" s="52"/>
      <c r="H837" s="52"/>
      <c r="I837" s="52"/>
      <c r="J837" s="52"/>
      <c r="K837" s="52"/>
      <c r="L837" s="52"/>
    </row>
    <row r="838">
      <c r="C838" s="52"/>
      <c r="H838" s="52"/>
      <c r="I838" s="52"/>
      <c r="J838" s="52"/>
      <c r="K838" s="52"/>
      <c r="L838" s="52"/>
    </row>
    <row r="839">
      <c r="C839" s="52"/>
      <c r="H839" s="52"/>
      <c r="I839" s="52"/>
      <c r="J839" s="52"/>
      <c r="K839" s="52"/>
      <c r="L839" s="52"/>
    </row>
    <row r="840">
      <c r="C840" s="52"/>
      <c r="H840" s="52"/>
      <c r="I840" s="52"/>
      <c r="J840" s="52"/>
      <c r="K840" s="52"/>
      <c r="L840" s="52"/>
    </row>
    <row r="841">
      <c r="C841" s="52"/>
      <c r="H841" s="52"/>
      <c r="I841" s="52"/>
      <c r="J841" s="52"/>
      <c r="K841" s="52"/>
      <c r="L841" s="52"/>
    </row>
    <row r="842">
      <c r="C842" s="52"/>
      <c r="H842" s="52"/>
      <c r="I842" s="52"/>
      <c r="J842" s="52"/>
      <c r="K842" s="52"/>
      <c r="L842" s="52"/>
    </row>
    <row r="843">
      <c r="C843" s="52"/>
      <c r="H843" s="52"/>
      <c r="I843" s="52"/>
      <c r="J843" s="52"/>
      <c r="K843" s="52"/>
      <c r="L843" s="52"/>
    </row>
    <row r="844">
      <c r="C844" s="52"/>
      <c r="H844" s="52"/>
      <c r="I844" s="52"/>
      <c r="J844" s="52"/>
      <c r="K844" s="52"/>
      <c r="L844" s="52"/>
    </row>
    <row r="845">
      <c r="C845" s="52"/>
      <c r="H845" s="52"/>
      <c r="I845" s="52"/>
      <c r="J845" s="52"/>
      <c r="K845" s="52"/>
      <c r="L845" s="52"/>
    </row>
    <row r="846">
      <c r="C846" s="52"/>
      <c r="H846" s="52"/>
      <c r="I846" s="52"/>
      <c r="J846" s="52"/>
      <c r="K846" s="52"/>
      <c r="L846" s="52"/>
    </row>
    <row r="847">
      <c r="C847" s="52"/>
      <c r="H847" s="52"/>
      <c r="I847" s="52"/>
      <c r="J847" s="52"/>
      <c r="K847" s="52"/>
      <c r="L847" s="52"/>
    </row>
    <row r="848">
      <c r="C848" s="52"/>
      <c r="H848" s="52"/>
      <c r="I848" s="52"/>
      <c r="J848" s="52"/>
      <c r="K848" s="52"/>
      <c r="L848" s="52"/>
    </row>
    <row r="849">
      <c r="C849" s="52"/>
      <c r="H849" s="52"/>
      <c r="I849" s="52"/>
      <c r="J849" s="52"/>
      <c r="K849" s="52"/>
      <c r="L849" s="52"/>
    </row>
    <row r="850">
      <c r="C850" s="52"/>
      <c r="H850" s="52"/>
      <c r="I850" s="52"/>
      <c r="J850" s="52"/>
      <c r="K850" s="52"/>
      <c r="L850" s="52"/>
    </row>
    <row r="851">
      <c r="C851" s="52"/>
      <c r="H851" s="52"/>
      <c r="I851" s="52"/>
      <c r="J851" s="52"/>
      <c r="K851" s="52"/>
      <c r="L851" s="52"/>
    </row>
    <row r="852">
      <c r="C852" s="52"/>
      <c r="H852" s="52"/>
      <c r="I852" s="52"/>
      <c r="J852" s="52"/>
      <c r="K852" s="52"/>
      <c r="L852" s="52"/>
    </row>
    <row r="853">
      <c r="C853" s="52"/>
      <c r="H853" s="52"/>
      <c r="I853" s="52"/>
      <c r="J853" s="52"/>
      <c r="K853" s="52"/>
      <c r="L853" s="52"/>
    </row>
    <row r="854">
      <c r="C854" s="52"/>
      <c r="H854" s="52"/>
      <c r="I854" s="52"/>
      <c r="J854" s="52"/>
      <c r="K854" s="52"/>
      <c r="L854" s="52"/>
    </row>
    <row r="855">
      <c r="C855" s="52"/>
      <c r="H855" s="52"/>
      <c r="I855" s="52"/>
      <c r="J855" s="52"/>
      <c r="K855" s="52"/>
      <c r="L855" s="52"/>
    </row>
    <row r="856">
      <c r="C856" s="52"/>
      <c r="H856" s="52"/>
      <c r="I856" s="52"/>
      <c r="J856" s="52"/>
      <c r="K856" s="52"/>
      <c r="L856" s="52"/>
    </row>
    <row r="857">
      <c r="C857" s="52"/>
      <c r="H857" s="52"/>
      <c r="I857" s="52"/>
      <c r="J857" s="52"/>
      <c r="K857" s="52"/>
      <c r="L857" s="52"/>
    </row>
    <row r="858">
      <c r="C858" s="52"/>
      <c r="H858" s="52"/>
      <c r="I858" s="52"/>
      <c r="J858" s="52"/>
      <c r="K858" s="52"/>
      <c r="L858" s="52"/>
    </row>
    <row r="859">
      <c r="C859" s="52"/>
      <c r="H859" s="52"/>
      <c r="I859" s="52"/>
      <c r="J859" s="52"/>
      <c r="K859" s="52"/>
      <c r="L859" s="52"/>
    </row>
    <row r="860">
      <c r="C860" s="52"/>
      <c r="H860" s="52"/>
      <c r="I860" s="52"/>
      <c r="J860" s="52"/>
      <c r="K860" s="52"/>
      <c r="L860" s="52"/>
    </row>
    <row r="861">
      <c r="C861" s="52"/>
      <c r="H861" s="52"/>
      <c r="I861" s="52"/>
      <c r="J861" s="52"/>
      <c r="K861" s="52"/>
      <c r="L861" s="52"/>
    </row>
    <row r="862">
      <c r="C862" s="52"/>
      <c r="H862" s="52"/>
      <c r="I862" s="52"/>
      <c r="J862" s="52"/>
      <c r="K862" s="52"/>
      <c r="L862" s="52"/>
    </row>
    <row r="863">
      <c r="C863" s="52"/>
      <c r="H863" s="52"/>
      <c r="I863" s="52"/>
      <c r="J863" s="52"/>
      <c r="K863" s="52"/>
      <c r="L863" s="52"/>
    </row>
    <row r="864">
      <c r="C864" s="52"/>
      <c r="H864" s="52"/>
      <c r="I864" s="52"/>
      <c r="J864" s="52"/>
      <c r="K864" s="52"/>
      <c r="L864" s="52"/>
    </row>
    <row r="865">
      <c r="C865" s="52"/>
      <c r="H865" s="52"/>
      <c r="I865" s="52"/>
      <c r="J865" s="52"/>
      <c r="K865" s="52"/>
      <c r="L865" s="52"/>
    </row>
    <row r="866">
      <c r="C866" s="52"/>
      <c r="H866" s="52"/>
      <c r="I866" s="52"/>
      <c r="J866" s="52"/>
      <c r="K866" s="52"/>
      <c r="L866" s="52"/>
    </row>
    <row r="867">
      <c r="C867" s="52"/>
      <c r="H867" s="52"/>
      <c r="I867" s="52"/>
      <c r="J867" s="52"/>
      <c r="K867" s="52"/>
      <c r="L867" s="52"/>
    </row>
    <row r="868">
      <c r="C868" s="52"/>
      <c r="H868" s="52"/>
      <c r="I868" s="52"/>
      <c r="J868" s="52"/>
      <c r="K868" s="52"/>
      <c r="L868" s="52"/>
    </row>
    <row r="869">
      <c r="C869" s="52"/>
      <c r="H869" s="52"/>
      <c r="I869" s="52"/>
      <c r="J869" s="52"/>
      <c r="K869" s="52"/>
      <c r="L869" s="52"/>
    </row>
    <row r="870">
      <c r="C870" s="52"/>
      <c r="H870" s="52"/>
      <c r="I870" s="52"/>
      <c r="J870" s="52"/>
      <c r="K870" s="52"/>
      <c r="L870" s="52"/>
    </row>
    <row r="871">
      <c r="C871" s="52"/>
      <c r="H871" s="52"/>
      <c r="I871" s="52"/>
      <c r="J871" s="52"/>
      <c r="K871" s="52"/>
      <c r="L871" s="52"/>
    </row>
    <row r="872">
      <c r="C872" s="52"/>
      <c r="H872" s="52"/>
      <c r="I872" s="52"/>
      <c r="J872" s="52"/>
      <c r="K872" s="52"/>
      <c r="L872" s="52"/>
    </row>
    <row r="873">
      <c r="C873" s="52"/>
      <c r="H873" s="52"/>
      <c r="I873" s="52"/>
      <c r="J873" s="52"/>
      <c r="K873" s="52"/>
      <c r="L873" s="52"/>
    </row>
    <row r="874">
      <c r="C874" s="52"/>
      <c r="H874" s="52"/>
      <c r="I874" s="52"/>
      <c r="J874" s="52"/>
      <c r="K874" s="52"/>
      <c r="L874" s="52"/>
    </row>
    <row r="875">
      <c r="C875" s="52"/>
      <c r="H875" s="52"/>
      <c r="I875" s="52"/>
      <c r="J875" s="52"/>
      <c r="K875" s="52"/>
      <c r="L875" s="52"/>
    </row>
    <row r="876">
      <c r="C876" s="52"/>
      <c r="H876" s="52"/>
      <c r="I876" s="52"/>
      <c r="J876" s="52"/>
      <c r="K876" s="52"/>
      <c r="L876" s="52"/>
    </row>
    <row r="877">
      <c r="C877" s="52"/>
      <c r="H877" s="52"/>
      <c r="I877" s="52"/>
      <c r="J877" s="52"/>
      <c r="K877" s="52"/>
      <c r="L877" s="52"/>
    </row>
    <row r="878">
      <c r="C878" s="52"/>
      <c r="H878" s="52"/>
      <c r="I878" s="52"/>
      <c r="J878" s="52"/>
      <c r="K878" s="52"/>
      <c r="L878" s="52"/>
    </row>
    <row r="879">
      <c r="C879" s="52"/>
      <c r="H879" s="52"/>
      <c r="I879" s="52"/>
      <c r="J879" s="52"/>
      <c r="K879" s="52"/>
      <c r="L879" s="52"/>
    </row>
    <row r="880">
      <c r="C880" s="52"/>
      <c r="H880" s="52"/>
      <c r="I880" s="52"/>
      <c r="J880" s="52"/>
      <c r="K880" s="52"/>
      <c r="L880" s="52"/>
    </row>
    <row r="881">
      <c r="C881" s="52"/>
      <c r="H881" s="52"/>
      <c r="I881" s="52"/>
      <c r="J881" s="52"/>
      <c r="K881" s="52"/>
      <c r="L881" s="52"/>
    </row>
    <row r="882">
      <c r="C882" s="52"/>
      <c r="H882" s="52"/>
      <c r="I882" s="52"/>
      <c r="J882" s="52"/>
      <c r="K882" s="52"/>
      <c r="L882" s="52"/>
    </row>
    <row r="883">
      <c r="C883" s="52"/>
      <c r="H883" s="52"/>
      <c r="I883" s="52"/>
      <c r="J883" s="52"/>
      <c r="K883" s="52"/>
      <c r="L883" s="52"/>
    </row>
    <row r="884">
      <c r="C884" s="52"/>
      <c r="H884" s="52"/>
      <c r="I884" s="52"/>
      <c r="J884" s="52"/>
      <c r="K884" s="52"/>
      <c r="L884" s="52"/>
    </row>
    <row r="885">
      <c r="C885" s="52"/>
      <c r="H885" s="52"/>
      <c r="I885" s="52"/>
      <c r="J885" s="52"/>
      <c r="K885" s="52"/>
      <c r="L885" s="52"/>
    </row>
    <row r="886">
      <c r="C886" s="52"/>
      <c r="H886" s="52"/>
      <c r="I886" s="52"/>
      <c r="J886" s="52"/>
      <c r="K886" s="52"/>
      <c r="L886" s="52"/>
    </row>
    <row r="887">
      <c r="C887" s="52"/>
      <c r="H887" s="52"/>
      <c r="I887" s="52"/>
      <c r="J887" s="52"/>
      <c r="K887" s="52"/>
      <c r="L887" s="52"/>
    </row>
    <row r="888">
      <c r="C888" s="52"/>
      <c r="H888" s="52"/>
      <c r="I888" s="52"/>
      <c r="J888" s="52"/>
      <c r="K888" s="52"/>
      <c r="L888" s="52"/>
    </row>
    <row r="889">
      <c r="C889" s="52"/>
      <c r="H889" s="52"/>
      <c r="I889" s="52"/>
      <c r="J889" s="52"/>
      <c r="K889" s="52"/>
      <c r="L889" s="52"/>
    </row>
    <row r="890">
      <c r="C890" s="52"/>
      <c r="H890" s="52"/>
      <c r="I890" s="52"/>
      <c r="J890" s="52"/>
      <c r="K890" s="52"/>
      <c r="L890" s="52"/>
    </row>
    <row r="891">
      <c r="C891" s="52"/>
      <c r="H891" s="52"/>
      <c r="I891" s="52"/>
      <c r="J891" s="52"/>
      <c r="K891" s="52"/>
      <c r="L891" s="52"/>
    </row>
    <row r="892">
      <c r="C892" s="52"/>
      <c r="H892" s="52"/>
      <c r="I892" s="52"/>
      <c r="J892" s="52"/>
      <c r="K892" s="52"/>
      <c r="L892" s="52"/>
    </row>
    <row r="893">
      <c r="C893" s="52"/>
      <c r="H893" s="52"/>
      <c r="I893" s="52"/>
      <c r="J893" s="52"/>
      <c r="K893" s="52"/>
      <c r="L893" s="52"/>
    </row>
    <row r="894">
      <c r="C894" s="52"/>
      <c r="H894" s="52"/>
      <c r="I894" s="52"/>
      <c r="J894" s="52"/>
      <c r="K894" s="52"/>
      <c r="L894" s="52"/>
    </row>
    <row r="895">
      <c r="C895" s="52"/>
      <c r="H895" s="52"/>
      <c r="I895" s="52"/>
      <c r="J895" s="52"/>
      <c r="K895" s="52"/>
      <c r="L895" s="52"/>
    </row>
    <row r="896">
      <c r="C896" s="52"/>
      <c r="H896" s="52"/>
      <c r="I896" s="52"/>
      <c r="J896" s="52"/>
      <c r="K896" s="52"/>
      <c r="L896" s="52"/>
    </row>
    <row r="897">
      <c r="C897" s="52"/>
      <c r="H897" s="52"/>
      <c r="I897" s="52"/>
      <c r="J897" s="52"/>
      <c r="K897" s="52"/>
      <c r="L897" s="52"/>
    </row>
    <row r="898">
      <c r="C898" s="52"/>
      <c r="H898" s="52"/>
      <c r="I898" s="52"/>
      <c r="J898" s="52"/>
      <c r="K898" s="52"/>
      <c r="L898" s="52"/>
    </row>
    <row r="899">
      <c r="C899" s="52"/>
      <c r="H899" s="52"/>
      <c r="I899" s="52"/>
      <c r="J899" s="52"/>
      <c r="K899" s="52"/>
      <c r="L899" s="52"/>
    </row>
    <row r="900">
      <c r="C900" s="52"/>
      <c r="H900" s="52"/>
      <c r="I900" s="52"/>
      <c r="J900" s="52"/>
      <c r="K900" s="52"/>
      <c r="L900" s="52"/>
    </row>
    <row r="901">
      <c r="C901" s="52"/>
      <c r="H901" s="52"/>
      <c r="I901" s="52"/>
      <c r="J901" s="52"/>
      <c r="K901" s="52"/>
      <c r="L901" s="52"/>
    </row>
    <row r="902">
      <c r="C902" s="52"/>
      <c r="H902" s="52"/>
      <c r="I902" s="52"/>
      <c r="J902" s="52"/>
      <c r="K902" s="52"/>
      <c r="L902" s="52"/>
    </row>
    <row r="903">
      <c r="C903" s="52"/>
      <c r="H903" s="52"/>
      <c r="I903" s="52"/>
      <c r="J903" s="52"/>
      <c r="K903" s="52"/>
      <c r="L903" s="52"/>
    </row>
    <row r="904">
      <c r="C904" s="52"/>
      <c r="H904" s="52"/>
      <c r="I904" s="52"/>
      <c r="J904" s="52"/>
      <c r="K904" s="52"/>
      <c r="L904" s="52"/>
    </row>
    <row r="905">
      <c r="C905" s="52"/>
      <c r="H905" s="52"/>
      <c r="I905" s="52"/>
      <c r="J905" s="52"/>
      <c r="K905" s="52"/>
      <c r="L905" s="52"/>
    </row>
    <row r="906">
      <c r="C906" s="52"/>
      <c r="H906" s="52"/>
      <c r="I906" s="52"/>
      <c r="J906" s="52"/>
      <c r="K906" s="52"/>
      <c r="L906" s="52"/>
    </row>
    <row r="907">
      <c r="C907" s="52"/>
      <c r="H907" s="52"/>
      <c r="I907" s="52"/>
      <c r="J907" s="52"/>
      <c r="K907" s="52"/>
      <c r="L907" s="52"/>
    </row>
    <row r="908">
      <c r="C908" s="52"/>
      <c r="H908" s="52"/>
      <c r="I908" s="52"/>
      <c r="J908" s="52"/>
      <c r="K908" s="52"/>
      <c r="L908" s="52"/>
    </row>
    <row r="909">
      <c r="C909" s="52"/>
      <c r="H909" s="52"/>
      <c r="I909" s="52"/>
      <c r="J909" s="52"/>
      <c r="K909" s="52"/>
      <c r="L909" s="52"/>
    </row>
    <row r="910">
      <c r="C910" s="52"/>
      <c r="H910" s="52"/>
      <c r="I910" s="52"/>
      <c r="J910" s="52"/>
      <c r="K910" s="52"/>
      <c r="L910" s="52"/>
    </row>
    <row r="911">
      <c r="C911" s="52"/>
      <c r="H911" s="52"/>
      <c r="I911" s="52"/>
      <c r="J911" s="52"/>
      <c r="K911" s="52"/>
      <c r="L911" s="52"/>
    </row>
    <row r="912">
      <c r="C912" s="52"/>
      <c r="H912" s="52"/>
      <c r="I912" s="52"/>
      <c r="J912" s="52"/>
      <c r="K912" s="52"/>
      <c r="L912" s="52"/>
    </row>
    <row r="913">
      <c r="C913" s="52"/>
      <c r="H913" s="52"/>
      <c r="I913" s="52"/>
      <c r="J913" s="52"/>
      <c r="K913" s="52"/>
      <c r="L913" s="52"/>
    </row>
    <row r="914">
      <c r="C914" s="52"/>
      <c r="H914" s="52"/>
      <c r="I914" s="52"/>
      <c r="J914" s="52"/>
      <c r="K914" s="52"/>
      <c r="L914" s="52"/>
    </row>
    <row r="915">
      <c r="C915" s="52"/>
      <c r="H915" s="52"/>
      <c r="I915" s="52"/>
      <c r="J915" s="52"/>
      <c r="K915" s="52"/>
      <c r="L915" s="52"/>
    </row>
    <row r="916">
      <c r="C916" s="52"/>
      <c r="H916" s="52"/>
      <c r="I916" s="52"/>
      <c r="J916" s="52"/>
      <c r="K916" s="52"/>
      <c r="L916" s="52"/>
    </row>
    <row r="917">
      <c r="C917" s="52"/>
      <c r="H917" s="52"/>
      <c r="I917" s="52"/>
      <c r="J917" s="52"/>
      <c r="K917" s="52"/>
      <c r="L917" s="52"/>
    </row>
    <row r="918">
      <c r="C918" s="52"/>
      <c r="H918" s="52"/>
      <c r="I918" s="52"/>
      <c r="J918" s="52"/>
      <c r="K918" s="52"/>
      <c r="L918" s="52"/>
    </row>
    <row r="919">
      <c r="C919" s="52"/>
      <c r="H919" s="52"/>
      <c r="I919" s="52"/>
      <c r="J919" s="52"/>
      <c r="K919" s="52"/>
      <c r="L919" s="52"/>
    </row>
    <row r="920">
      <c r="C920" s="52"/>
      <c r="H920" s="52"/>
      <c r="I920" s="52"/>
      <c r="J920" s="52"/>
      <c r="K920" s="52"/>
      <c r="L920" s="52"/>
    </row>
    <row r="921">
      <c r="C921" s="52"/>
      <c r="H921" s="52"/>
      <c r="I921" s="52"/>
      <c r="J921" s="52"/>
      <c r="K921" s="52"/>
      <c r="L921" s="52"/>
    </row>
    <row r="922">
      <c r="C922" s="52"/>
      <c r="H922" s="52"/>
      <c r="I922" s="52"/>
      <c r="J922" s="52"/>
      <c r="K922" s="52"/>
      <c r="L922" s="52"/>
    </row>
    <row r="923">
      <c r="C923" s="52"/>
      <c r="H923" s="52"/>
      <c r="I923" s="52"/>
      <c r="J923" s="52"/>
      <c r="K923" s="52"/>
      <c r="L923" s="52"/>
    </row>
    <row r="924">
      <c r="C924" s="52"/>
      <c r="H924" s="52"/>
      <c r="I924" s="52"/>
      <c r="J924" s="52"/>
      <c r="K924" s="52"/>
      <c r="L924" s="52"/>
    </row>
    <row r="925">
      <c r="C925" s="52"/>
      <c r="H925" s="52"/>
      <c r="I925" s="52"/>
      <c r="J925" s="52"/>
      <c r="K925" s="52"/>
      <c r="L925" s="52"/>
    </row>
    <row r="926">
      <c r="C926" s="52"/>
      <c r="H926" s="52"/>
      <c r="I926" s="52"/>
      <c r="J926" s="52"/>
      <c r="K926" s="52"/>
      <c r="L926" s="52"/>
    </row>
    <row r="927">
      <c r="C927" s="52"/>
      <c r="H927" s="52"/>
      <c r="I927" s="52"/>
      <c r="J927" s="52"/>
      <c r="K927" s="52"/>
      <c r="L927" s="52"/>
    </row>
    <row r="928">
      <c r="C928" s="52"/>
      <c r="H928" s="52"/>
      <c r="I928" s="52"/>
      <c r="J928" s="52"/>
      <c r="K928" s="52"/>
      <c r="L928" s="52"/>
    </row>
    <row r="929">
      <c r="C929" s="52"/>
      <c r="H929" s="52"/>
      <c r="I929" s="52"/>
      <c r="J929" s="52"/>
      <c r="K929" s="52"/>
      <c r="L929" s="52"/>
    </row>
    <row r="930">
      <c r="C930" s="52"/>
      <c r="H930" s="52"/>
      <c r="I930" s="52"/>
      <c r="J930" s="52"/>
      <c r="K930" s="52"/>
      <c r="L930" s="52"/>
    </row>
    <row r="931">
      <c r="C931" s="52"/>
      <c r="H931" s="52"/>
      <c r="I931" s="52"/>
      <c r="J931" s="52"/>
      <c r="K931" s="52"/>
      <c r="L931" s="52"/>
    </row>
    <row r="932">
      <c r="C932" s="52"/>
      <c r="H932" s="52"/>
      <c r="I932" s="52"/>
      <c r="J932" s="52"/>
      <c r="K932" s="52"/>
      <c r="L932" s="52"/>
    </row>
    <row r="933">
      <c r="C933" s="52"/>
      <c r="H933" s="52"/>
      <c r="I933" s="52"/>
      <c r="J933" s="52"/>
      <c r="K933" s="52"/>
      <c r="L933" s="52"/>
    </row>
    <row r="934">
      <c r="C934" s="52"/>
      <c r="H934" s="52"/>
      <c r="I934" s="52"/>
      <c r="J934" s="52"/>
      <c r="K934" s="52"/>
      <c r="L934" s="52"/>
    </row>
    <row r="935">
      <c r="C935" s="52"/>
      <c r="H935" s="52"/>
      <c r="I935" s="52"/>
      <c r="J935" s="52"/>
      <c r="K935" s="52"/>
      <c r="L935" s="52"/>
    </row>
    <row r="936">
      <c r="C936" s="52"/>
      <c r="H936" s="52"/>
      <c r="I936" s="52"/>
      <c r="J936" s="52"/>
      <c r="K936" s="52"/>
      <c r="L936" s="52"/>
    </row>
    <row r="937">
      <c r="C937" s="52"/>
      <c r="H937" s="52"/>
      <c r="I937" s="52"/>
      <c r="J937" s="52"/>
      <c r="K937" s="52"/>
      <c r="L937" s="52"/>
    </row>
    <row r="938">
      <c r="C938" s="52"/>
      <c r="H938" s="52"/>
      <c r="I938" s="52"/>
      <c r="J938" s="52"/>
      <c r="K938" s="52"/>
      <c r="L938" s="52"/>
    </row>
    <row r="939">
      <c r="C939" s="52"/>
      <c r="H939" s="52"/>
      <c r="I939" s="52"/>
      <c r="J939" s="52"/>
      <c r="K939" s="52"/>
      <c r="L939" s="52"/>
    </row>
    <row r="940">
      <c r="C940" s="52"/>
      <c r="H940" s="52"/>
      <c r="I940" s="52"/>
      <c r="J940" s="52"/>
      <c r="K940" s="52"/>
      <c r="L940" s="52"/>
    </row>
    <row r="941">
      <c r="C941" s="52"/>
      <c r="H941" s="52"/>
      <c r="I941" s="52"/>
      <c r="J941" s="52"/>
      <c r="K941" s="52"/>
      <c r="L941" s="52"/>
    </row>
    <row r="942">
      <c r="C942" s="52"/>
      <c r="H942" s="52"/>
      <c r="I942" s="52"/>
      <c r="J942" s="52"/>
      <c r="K942" s="52"/>
      <c r="L942" s="52"/>
    </row>
    <row r="943">
      <c r="C943" s="52"/>
      <c r="H943" s="52"/>
      <c r="I943" s="52"/>
      <c r="J943" s="52"/>
      <c r="K943" s="52"/>
      <c r="L943" s="52"/>
    </row>
    <row r="944">
      <c r="C944" s="52"/>
      <c r="H944" s="52"/>
      <c r="I944" s="52"/>
      <c r="J944" s="52"/>
      <c r="K944" s="52"/>
      <c r="L944" s="52"/>
    </row>
    <row r="945">
      <c r="C945" s="52"/>
      <c r="H945" s="52"/>
      <c r="I945" s="52"/>
      <c r="J945" s="52"/>
      <c r="K945" s="52"/>
      <c r="L945" s="52"/>
    </row>
    <row r="946">
      <c r="C946" s="52"/>
      <c r="H946" s="52"/>
      <c r="I946" s="52"/>
      <c r="J946" s="52"/>
      <c r="K946" s="52"/>
      <c r="L946" s="52"/>
    </row>
    <row r="947">
      <c r="C947" s="52"/>
      <c r="H947" s="52"/>
      <c r="I947" s="52"/>
      <c r="J947" s="52"/>
      <c r="K947" s="52"/>
      <c r="L947" s="52"/>
    </row>
    <row r="948">
      <c r="C948" s="52"/>
      <c r="H948" s="52"/>
      <c r="I948" s="52"/>
      <c r="J948" s="52"/>
      <c r="K948" s="52"/>
      <c r="L948" s="52"/>
    </row>
    <row r="949">
      <c r="C949" s="52"/>
      <c r="H949" s="52"/>
      <c r="I949" s="52"/>
      <c r="J949" s="52"/>
      <c r="K949" s="52"/>
      <c r="L949" s="52"/>
    </row>
    <row r="950">
      <c r="C950" s="52"/>
      <c r="H950" s="52"/>
      <c r="I950" s="52"/>
      <c r="J950" s="52"/>
      <c r="K950" s="52"/>
      <c r="L950" s="52"/>
    </row>
    <row r="951">
      <c r="C951" s="52"/>
      <c r="H951" s="52"/>
      <c r="I951" s="52"/>
      <c r="J951" s="52"/>
      <c r="K951" s="52"/>
      <c r="L951" s="52"/>
    </row>
    <row r="952">
      <c r="C952" s="52"/>
      <c r="H952" s="52"/>
      <c r="I952" s="52"/>
      <c r="J952" s="52"/>
      <c r="K952" s="52"/>
      <c r="L952" s="52"/>
    </row>
    <row r="953">
      <c r="C953" s="52"/>
      <c r="H953" s="52"/>
      <c r="I953" s="52"/>
      <c r="J953" s="52"/>
      <c r="K953" s="52"/>
      <c r="L953" s="52"/>
    </row>
    <row r="954">
      <c r="C954" s="52"/>
      <c r="H954" s="52"/>
      <c r="I954" s="52"/>
      <c r="J954" s="52"/>
      <c r="K954" s="52"/>
      <c r="L954" s="52"/>
    </row>
    <row r="955">
      <c r="C955" s="52"/>
      <c r="H955" s="52"/>
      <c r="I955" s="52"/>
      <c r="J955" s="52"/>
      <c r="K955" s="52"/>
      <c r="L955" s="52"/>
    </row>
    <row r="956">
      <c r="C956" s="52"/>
      <c r="H956" s="52"/>
      <c r="I956" s="52"/>
      <c r="J956" s="52"/>
      <c r="K956" s="52"/>
      <c r="L956" s="52"/>
    </row>
    <row r="957">
      <c r="C957" s="52"/>
      <c r="H957" s="52"/>
      <c r="I957" s="52"/>
      <c r="J957" s="52"/>
      <c r="K957" s="52"/>
      <c r="L957" s="52"/>
    </row>
    <row r="958">
      <c r="C958" s="52"/>
      <c r="H958" s="52"/>
      <c r="I958" s="52"/>
      <c r="J958" s="52"/>
      <c r="K958" s="52"/>
      <c r="L958" s="52"/>
    </row>
    <row r="959">
      <c r="C959" s="52"/>
      <c r="H959" s="52"/>
      <c r="I959" s="52"/>
      <c r="J959" s="52"/>
      <c r="K959" s="52"/>
      <c r="L959" s="52"/>
    </row>
    <row r="960">
      <c r="C960" s="52"/>
      <c r="H960" s="52"/>
      <c r="I960" s="52"/>
      <c r="J960" s="52"/>
      <c r="K960" s="52"/>
      <c r="L960" s="52"/>
    </row>
    <row r="961">
      <c r="C961" s="52"/>
      <c r="H961" s="52"/>
      <c r="I961" s="52"/>
      <c r="J961" s="52"/>
      <c r="K961" s="52"/>
      <c r="L961" s="52"/>
    </row>
    <row r="962">
      <c r="C962" s="52"/>
      <c r="H962" s="52"/>
      <c r="I962" s="52"/>
      <c r="J962" s="52"/>
      <c r="K962" s="52"/>
      <c r="L962" s="52"/>
    </row>
    <row r="963">
      <c r="C963" s="52"/>
      <c r="H963" s="52"/>
      <c r="I963" s="52"/>
      <c r="J963" s="52"/>
      <c r="K963" s="52"/>
      <c r="L963" s="52"/>
    </row>
    <row r="964">
      <c r="C964" s="52"/>
      <c r="H964" s="52"/>
      <c r="I964" s="52"/>
      <c r="J964" s="52"/>
      <c r="K964" s="52"/>
      <c r="L964" s="52"/>
    </row>
    <row r="965">
      <c r="C965" s="52"/>
      <c r="H965" s="52"/>
      <c r="I965" s="52"/>
      <c r="J965" s="52"/>
      <c r="K965" s="52"/>
      <c r="L965" s="52"/>
    </row>
    <row r="966">
      <c r="C966" s="52"/>
      <c r="H966" s="52"/>
      <c r="I966" s="52"/>
      <c r="J966" s="52"/>
      <c r="K966" s="52"/>
      <c r="L966" s="52"/>
    </row>
    <row r="967">
      <c r="C967" s="52"/>
      <c r="H967" s="52"/>
      <c r="I967" s="52"/>
      <c r="J967" s="52"/>
      <c r="K967" s="52"/>
      <c r="L967" s="52"/>
    </row>
    <row r="968">
      <c r="C968" s="52"/>
      <c r="H968" s="52"/>
      <c r="I968" s="52"/>
      <c r="J968" s="52"/>
      <c r="K968" s="52"/>
      <c r="L968" s="52"/>
    </row>
    <row r="969">
      <c r="C969" s="52"/>
      <c r="H969" s="52"/>
      <c r="I969" s="52"/>
      <c r="J969" s="52"/>
      <c r="K969" s="52"/>
      <c r="L969" s="52"/>
    </row>
    <row r="970">
      <c r="C970" s="52"/>
      <c r="H970" s="52"/>
      <c r="I970" s="52"/>
      <c r="J970" s="52"/>
      <c r="K970" s="52"/>
      <c r="L970" s="52"/>
    </row>
    <row r="971">
      <c r="C971" s="52"/>
      <c r="H971" s="52"/>
      <c r="I971" s="52"/>
      <c r="J971" s="52"/>
      <c r="K971" s="52"/>
      <c r="L971" s="52"/>
    </row>
    <row r="972">
      <c r="C972" s="52"/>
      <c r="H972" s="52"/>
      <c r="I972" s="52"/>
      <c r="J972" s="52"/>
      <c r="K972" s="52"/>
      <c r="L972" s="52"/>
    </row>
    <row r="973">
      <c r="C973" s="52"/>
      <c r="H973" s="52"/>
      <c r="I973" s="52"/>
      <c r="J973" s="52"/>
      <c r="K973" s="52"/>
      <c r="L973" s="52"/>
    </row>
    <row r="974">
      <c r="C974" s="52"/>
      <c r="H974" s="52"/>
      <c r="I974" s="52"/>
      <c r="J974" s="52"/>
      <c r="K974" s="52"/>
      <c r="L974" s="52"/>
    </row>
    <row r="975">
      <c r="C975" s="52"/>
      <c r="H975" s="52"/>
      <c r="I975" s="52"/>
      <c r="J975" s="52"/>
      <c r="K975" s="52"/>
      <c r="L975" s="52"/>
    </row>
    <row r="976">
      <c r="C976" s="52"/>
      <c r="H976" s="52"/>
      <c r="I976" s="52"/>
      <c r="J976" s="52"/>
      <c r="K976" s="52"/>
      <c r="L976" s="52"/>
    </row>
    <row r="977">
      <c r="C977" s="52"/>
      <c r="H977" s="52"/>
      <c r="I977" s="52"/>
      <c r="J977" s="52"/>
      <c r="K977" s="52"/>
      <c r="L977" s="52"/>
    </row>
    <row r="978">
      <c r="C978" s="52"/>
      <c r="H978" s="52"/>
      <c r="I978" s="52"/>
      <c r="J978" s="52"/>
      <c r="K978" s="52"/>
      <c r="L978" s="52"/>
    </row>
    <row r="979">
      <c r="C979" s="52"/>
      <c r="H979" s="52"/>
      <c r="I979" s="52"/>
      <c r="J979" s="52"/>
      <c r="K979" s="52"/>
      <c r="L979" s="52"/>
    </row>
    <row r="980">
      <c r="C980" s="52"/>
      <c r="H980" s="52"/>
      <c r="I980" s="52"/>
      <c r="J980" s="52"/>
      <c r="K980" s="52"/>
      <c r="L980" s="52"/>
    </row>
    <row r="981">
      <c r="C981" s="52"/>
      <c r="H981" s="52"/>
      <c r="I981" s="52"/>
      <c r="J981" s="52"/>
      <c r="K981" s="52"/>
      <c r="L981" s="52"/>
    </row>
    <row r="982">
      <c r="C982" s="52"/>
      <c r="H982" s="52"/>
      <c r="I982" s="52"/>
      <c r="J982" s="52"/>
      <c r="K982" s="52"/>
      <c r="L982" s="52"/>
    </row>
    <row r="983">
      <c r="C983" s="52"/>
      <c r="H983" s="52"/>
      <c r="I983" s="52"/>
      <c r="J983" s="52"/>
      <c r="K983" s="52"/>
      <c r="L983" s="52"/>
    </row>
    <row r="984">
      <c r="C984" s="52"/>
      <c r="H984" s="52"/>
      <c r="I984" s="52"/>
      <c r="J984" s="52"/>
      <c r="K984" s="52"/>
      <c r="L984" s="52"/>
    </row>
    <row r="985">
      <c r="C985" s="52"/>
      <c r="H985" s="52"/>
      <c r="I985" s="52"/>
      <c r="J985" s="52"/>
      <c r="K985" s="52"/>
      <c r="L985" s="52"/>
    </row>
    <row r="986">
      <c r="C986" s="52"/>
      <c r="H986" s="52"/>
      <c r="I986" s="52"/>
      <c r="J986" s="52"/>
      <c r="K986" s="52"/>
      <c r="L986" s="52"/>
    </row>
    <row r="987">
      <c r="C987" s="52"/>
      <c r="H987" s="52"/>
      <c r="I987" s="52"/>
      <c r="J987" s="52"/>
      <c r="K987" s="52"/>
      <c r="L987" s="52"/>
    </row>
    <row r="988">
      <c r="C988" s="52"/>
      <c r="H988" s="52"/>
      <c r="I988" s="52"/>
      <c r="J988" s="52"/>
      <c r="K988" s="52"/>
      <c r="L988" s="52"/>
    </row>
    <row r="989">
      <c r="C989" s="52"/>
      <c r="H989" s="52"/>
      <c r="I989" s="52"/>
      <c r="J989" s="52"/>
      <c r="K989" s="52"/>
      <c r="L989" s="52"/>
    </row>
    <row r="990">
      <c r="C990" s="52"/>
      <c r="H990" s="52"/>
      <c r="I990" s="52"/>
      <c r="J990" s="52"/>
      <c r="K990" s="52"/>
      <c r="L990" s="52"/>
    </row>
    <row r="991">
      <c r="C991" s="52"/>
      <c r="H991" s="52"/>
      <c r="I991" s="52"/>
      <c r="J991" s="52"/>
      <c r="K991" s="52"/>
      <c r="L991" s="52"/>
    </row>
    <row r="992">
      <c r="C992" s="52"/>
      <c r="H992" s="52"/>
      <c r="I992" s="52"/>
      <c r="J992" s="52"/>
      <c r="K992" s="52"/>
      <c r="L992" s="52"/>
    </row>
    <row r="993">
      <c r="C993" s="52"/>
      <c r="H993" s="52"/>
      <c r="I993" s="52"/>
      <c r="J993" s="52"/>
      <c r="K993" s="52"/>
      <c r="L993" s="52"/>
    </row>
    <row r="994">
      <c r="C994" s="52"/>
      <c r="H994" s="52"/>
      <c r="I994" s="52"/>
      <c r="J994" s="52"/>
      <c r="K994" s="52"/>
      <c r="L994" s="52"/>
    </row>
    <row r="995">
      <c r="C995" s="52"/>
      <c r="H995" s="52"/>
      <c r="I995" s="52"/>
      <c r="J995" s="52"/>
      <c r="K995" s="52"/>
      <c r="L995" s="52"/>
    </row>
    <row r="996">
      <c r="C996" s="52"/>
      <c r="H996" s="52"/>
      <c r="I996" s="52"/>
      <c r="J996" s="52"/>
      <c r="K996" s="52"/>
      <c r="L996" s="52"/>
    </row>
    <row r="997">
      <c r="C997" s="52"/>
      <c r="H997" s="52"/>
      <c r="I997" s="52"/>
      <c r="J997" s="52"/>
      <c r="K997" s="52"/>
      <c r="L997" s="52"/>
    </row>
    <row r="998">
      <c r="C998" s="52"/>
      <c r="H998" s="52"/>
      <c r="I998" s="52"/>
      <c r="J998" s="52"/>
      <c r="K998" s="52"/>
      <c r="L998" s="52"/>
    </row>
    <row r="999">
      <c r="C999" s="52"/>
      <c r="H999" s="52"/>
      <c r="I999" s="52"/>
      <c r="J999" s="52"/>
      <c r="K999" s="52"/>
      <c r="L999" s="52"/>
    </row>
    <row r="1000">
      <c r="C1000" s="52"/>
      <c r="H1000" s="52"/>
      <c r="I1000" s="52"/>
      <c r="J1000" s="52"/>
      <c r="K1000" s="52"/>
      <c r="L1000" s="52"/>
    </row>
    <row r="1001">
      <c r="C1001" s="52"/>
      <c r="H1001" s="52"/>
      <c r="I1001" s="52"/>
      <c r="J1001" s="52"/>
      <c r="K1001" s="52"/>
      <c r="L1001" s="52"/>
    </row>
    <row r="1002">
      <c r="C1002" s="52"/>
      <c r="H1002" s="52"/>
      <c r="I1002" s="52"/>
      <c r="J1002" s="52"/>
      <c r="K1002" s="52"/>
      <c r="L1002" s="52"/>
    </row>
    <row r="1003">
      <c r="C1003" s="52"/>
      <c r="H1003" s="52"/>
      <c r="I1003" s="52"/>
      <c r="J1003" s="52"/>
      <c r="K1003" s="52"/>
      <c r="L1003" s="52"/>
    </row>
    <row r="1004">
      <c r="C1004" s="52"/>
      <c r="H1004" s="52"/>
      <c r="I1004" s="52"/>
      <c r="J1004" s="52"/>
      <c r="K1004" s="52"/>
      <c r="L1004" s="52"/>
    </row>
    <row r="1005">
      <c r="C1005" s="52"/>
      <c r="H1005" s="52"/>
      <c r="I1005" s="52"/>
      <c r="J1005" s="52"/>
      <c r="K1005" s="52"/>
      <c r="L1005" s="52"/>
    </row>
    <row r="1006">
      <c r="C1006" s="52"/>
      <c r="H1006" s="52"/>
      <c r="I1006" s="52"/>
      <c r="J1006" s="52"/>
      <c r="K1006" s="52"/>
      <c r="L1006" s="52"/>
    </row>
    <row r="1007">
      <c r="C1007" s="52"/>
      <c r="H1007" s="52"/>
      <c r="I1007" s="52"/>
      <c r="J1007" s="52"/>
      <c r="K1007" s="52"/>
      <c r="L1007" s="52"/>
    </row>
    <row r="1008">
      <c r="C1008" s="52"/>
      <c r="H1008" s="52"/>
      <c r="I1008" s="52"/>
      <c r="J1008" s="52"/>
      <c r="K1008" s="52"/>
      <c r="L1008" s="52"/>
    </row>
    <row r="1009">
      <c r="C1009" s="52"/>
      <c r="H1009" s="52"/>
      <c r="I1009" s="52"/>
      <c r="J1009" s="52"/>
      <c r="K1009" s="52"/>
      <c r="L1009" s="52"/>
    </row>
    <row r="1010">
      <c r="C1010" s="52"/>
      <c r="H1010" s="52"/>
      <c r="I1010" s="52"/>
      <c r="J1010" s="52"/>
      <c r="K1010" s="52"/>
      <c r="L1010" s="52"/>
    </row>
    <row r="1011">
      <c r="C1011" s="52"/>
      <c r="H1011" s="52"/>
      <c r="I1011" s="52"/>
      <c r="J1011" s="52"/>
      <c r="K1011" s="52"/>
      <c r="L1011" s="52"/>
    </row>
    <row r="1012">
      <c r="C1012" s="52"/>
      <c r="H1012" s="52"/>
      <c r="I1012" s="52"/>
      <c r="J1012" s="52"/>
      <c r="K1012" s="52"/>
      <c r="L1012" s="52"/>
    </row>
    <row r="1013">
      <c r="C1013" s="52"/>
      <c r="H1013" s="52"/>
      <c r="I1013" s="52"/>
      <c r="J1013" s="52"/>
      <c r="K1013" s="52"/>
      <c r="L1013" s="52"/>
    </row>
    <row r="1014">
      <c r="C1014" s="52"/>
      <c r="H1014" s="52"/>
      <c r="I1014" s="52"/>
      <c r="J1014" s="52"/>
      <c r="K1014" s="52"/>
      <c r="L1014" s="52"/>
    </row>
    <row r="1015">
      <c r="C1015" s="52"/>
      <c r="H1015" s="52"/>
      <c r="I1015" s="52"/>
      <c r="J1015" s="52"/>
      <c r="K1015" s="52"/>
      <c r="L1015" s="52"/>
    </row>
    <row r="1016">
      <c r="C1016" s="52"/>
      <c r="H1016" s="52"/>
      <c r="I1016" s="52"/>
      <c r="J1016" s="52"/>
      <c r="K1016" s="52"/>
      <c r="L1016" s="52"/>
    </row>
    <row r="1017">
      <c r="C1017" s="52"/>
      <c r="H1017" s="52"/>
      <c r="I1017" s="52"/>
      <c r="J1017" s="52"/>
      <c r="K1017" s="52"/>
      <c r="L1017" s="52"/>
    </row>
    <row r="1018">
      <c r="C1018" s="52"/>
      <c r="H1018" s="52"/>
      <c r="I1018" s="52"/>
      <c r="J1018" s="52"/>
      <c r="K1018" s="52"/>
      <c r="L1018" s="52"/>
    </row>
    <row r="1019">
      <c r="C1019" s="52"/>
      <c r="H1019" s="52"/>
      <c r="I1019" s="52"/>
      <c r="J1019" s="52"/>
      <c r="K1019" s="52"/>
      <c r="L1019" s="52"/>
    </row>
    <row r="1020">
      <c r="C1020" s="52"/>
      <c r="H1020" s="52"/>
      <c r="I1020" s="52"/>
      <c r="J1020" s="52"/>
      <c r="K1020" s="52"/>
      <c r="L1020" s="52"/>
    </row>
    <row r="1021">
      <c r="C1021" s="52"/>
      <c r="H1021" s="52"/>
      <c r="I1021" s="52"/>
      <c r="J1021" s="52"/>
      <c r="K1021" s="52"/>
      <c r="L1021" s="52"/>
    </row>
    <row r="1022">
      <c r="C1022" s="52"/>
      <c r="H1022" s="52"/>
      <c r="I1022" s="52"/>
      <c r="J1022" s="52"/>
      <c r="K1022" s="52"/>
      <c r="L1022" s="52"/>
    </row>
    <row r="1023">
      <c r="C1023" s="52"/>
      <c r="H1023" s="52"/>
      <c r="I1023" s="52"/>
      <c r="J1023" s="52"/>
      <c r="K1023" s="52"/>
      <c r="L1023" s="52"/>
    </row>
    <row r="1024">
      <c r="C1024" s="52"/>
      <c r="H1024" s="52"/>
      <c r="I1024" s="52"/>
      <c r="J1024" s="52"/>
      <c r="K1024" s="52"/>
      <c r="L1024" s="52"/>
    </row>
    <row r="1025">
      <c r="C1025" s="52"/>
      <c r="H1025" s="52"/>
      <c r="I1025" s="52"/>
      <c r="J1025" s="52"/>
      <c r="K1025" s="52"/>
      <c r="L1025" s="52"/>
    </row>
    <row r="1026">
      <c r="C1026" s="52"/>
      <c r="H1026" s="52"/>
      <c r="I1026" s="52"/>
      <c r="J1026" s="52"/>
      <c r="K1026" s="52"/>
      <c r="L1026" s="52"/>
    </row>
    <row r="1027">
      <c r="C1027" s="52"/>
      <c r="H1027" s="52"/>
      <c r="I1027" s="52"/>
      <c r="J1027" s="52"/>
      <c r="K1027" s="52"/>
      <c r="L1027" s="52"/>
    </row>
    <row r="1028">
      <c r="C1028" s="52"/>
      <c r="H1028" s="52"/>
      <c r="I1028" s="52"/>
      <c r="J1028" s="52"/>
      <c r="K1028" s="52"/>
      <c r="L1028" s="52"/>
    </row>
    <row r="1029">
      <c r="C1029" s="52"/>
      <c r="H1029" s="52"/>
      <c r="I1029" s="52"/>
      <c r="J1029" s="52"/>
      <c r="K1029" s="52"/>
      <c r="L1029" s="52"/>
    </row>
    <row r="1030">
      <c r="C1030" s="52"/>
      <c r="H1030" s="52"/>
      <c r="I1030" s="52"/>
      <c r="J1030" s="52"/>
      <c r="K1030" s="52"/>
      <c r="L1030" s="52"/>
    </row>
  </sheetData>
  <dataValidations>
    <dataValidation type="list" allowBlank="1" sqref="H2:H48">
      <formula1>"Low,Medium,High"</formula1>
    </dataValidation>
    <dataValidation type="list" allowBlank="1" sqref="I2:I48">
      <formula1>"Open Standard / Public Domain,Copyleft Open Source,Open but Restricted,Paywalled,Proprietary"</formula1>
    </dataValidation>
    <dataValidation type="list" allowBlank="1" sqref="E2:E48">
      <formula1>"Data Model,Dataset"</formula1>
    </dataValidation>
  </dataValidations>
  <hyperlinks>
    <hyperlink r:id="rId4" ref="F2"/>
    <hyperlink r:id="rId5" location=":~:text=The%20XBRL%20standard%20is%20free%2C,a%20standard%20and%20here%E2%80%99s%20why" ref="G2"/>
    <hyperlink r:id="rId6" ref="G3"/>
    <hyperlink r:id="rId7" ref="K3"/>
    <hyperlink r:id="rId8" ref="G4"/>
    <hyperlink r:id="rId9" ref="G5"/>
    <hyperlink r:id="rId10" ref="G6"/>
    <hyperlink r:id="rId11" ref="G7"/>
    <hyperlink r:id="rId12" location=":~:text=The%20Observational%20Medical%20Outcomes%20Partnership,that%20can%20produce%20reliable%20evidence." ref="G8"/>
    <hyperlink r:id="rId13" ref="K8"/>
    <hyperlink r:id="rId14" ref="M8"/>
    <hyperlink r:id="rId15" ref="G9"/>
    <hyperlink r:id="rId16" location=":~:text=CDISC%20Intellectual%20Property%20Policy%201,adoption%20of%20such%20Standards%20by" ref="K9"/>
    <hyperlink r:id="rId17" ref="F10"/>
    <hyperlink r:id="rId18" location=":~:text=1,Intellectual%20Property%20%28IP%29%20Use" ref="J10"/>
    <hyperlink r:id="rId19" ref="G11"/>
    <hyperlink r:id="rId20" location=":~:text=CDISC%20Intellectual%20Property%20Policy%201,adoption%20of%20such%20Standards%20by" ref="K11"/>
    <hyperlink r:id="rId21" ref="G12"/>
    <hyperlink r:id="rId22" ref="G13"/>
    <hyperlink r:id="rId23" ref="G14"/>
    <hyperlink r:id="rId24" ref="G15"/>
    <hyperlink r:id="rId25" ref="G16"/>
    <hyperlink r:id="rId26" ref="G17"/>
    <hyperlink r:id="rId27" ref="G18"/>
    <hyperlink r:id="rId28" ref="G19"/>
    <hyperlink r:id="rId29" location=":~:text=audio%2C%20and%20the%20design%2C%20selection%2C,punitive%20damages%20and%20attorney%E2%80%99s%20fees" ref="K19"/>
    <hyperlink r:id="rId30" ref="G20"/>
    <hyperlink r:id="rId31" ref="G21"/>
    <hyperlink r:id="rId32" ref="G22"/>
    <hyperlink r:id="rId33" ref="G23"/>
    <hyperlink r:id="rId34" ref="G24"/>
    <hyperlink r:id="rId35" ref="G26"/>
    <hyperlink r:id="rId36" location=":~:text=B2MML%20is%20an%20XML%20implementation,95%20standard" ref="G27"/>
    <hyperlink r:id="rId37" ref="G28"/>
    <hyperlink r:id="rId38" ref="K28"/>
    <hyperlink r:id="rId39" ref="G29"/>
    <hyperlink r:id="rId40" ref="G30"/>
    <hyperlink r:id="rId41" ref="G31"/>
    <hyperlink r:id="rId42" ref="G32"/>
    <hyperlink r:id="rId43" location=":~:text=and%20Regional%20Investment%20Plans%20demand,codes%E2%80%99%20common%20grid%20models%20exchanges" ref="G33"/>
    <hyperlink r:id="rId44" ref="K33"/>
    <hyperlink r:id="rId45" ref="G34"/>
    <hyperlink r:id="rId46" ref="G35"/>
    <hyperlink r:id="rId47" ref="G36"/>
    <hyperlink r:id="rId48" ref="G37"/>
    <hyperlink r:id="rId49" ref="G38"/>
    <hyperlink r:id="rId50" ref="G39"/>
    <hyperlink r:id="rId51" ref="G40"/>
    <hyperlink r:id="rId52" ref="G42"/>
    <hyperlink r:id="rId53" ref="G43"/>
    <hyperlink r:id="rId54" ref="G44"/>
    <hyperlink r:id="rId55" ref="G45"/>
    <hyperlink r:id="rId56" ref="G48"/>
  </hyperlinks>
  <drawing r:id="rId57"/>
  <legacyDrawing r:id="rId58"/>
  <tableParts count="1">
    <tablePart r:id="rId6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15.75"/>
    <col customWidth="1" min="3" max="3" width="11.63"/>
    <col customWidth="1" min="5" max="5" width="27.0"/>
    <col customWidth="1" min="6" max="6" width="14.75"/>
    <col customWidth="1" min="12" max="12" width="20.25"/>
  </cols>
  <sheetData>
    <row r="1">
      <c r="A1" s="102" t="s">
        <v>570</v>
      </c>
      <c r="B1" s="102" t="s">
        <v>704</v>
      </c>
      <c r="C1" s="25" t="s">
        <v>705</v>
      </c>
      <c r="D1" s="25" t="s">
        <v>706</v>
      </c>
      <c r="E1" s="25" t="s">
        <v>364</v>
      </c>
      <c r="F1" s="25" t="s">
        <v>571</v>
      </c>
    </row>
    <row r="2">
      <c r="A2" s="103" t="s">
        <v>707</v>
      </c>
      <c r="B2" s="25" t="s">
        <v>708</v>
      </c>
      <c r="C2" s="25">
        <v>-3.0</v>
      </c>
      <c r="D2" s="25">
        <v>2.0</v>
      </c>
    </row>
    <row r="3">
      <c r="A3" s="104" t="s">
        <v>252</v>
      </c>
      <c r="B3" s="25" t="s">
        <v>709</v>
      </c>
      <c r="C3" s="25">
        <v>-1.0</v>
      </c>
      <c r="D3" s="25" t="s">
        <v>710</v>
      </c>
    </row>
    <row r="4">
      <c r="A4" s="104" t="s">
        <v>603</v>
      </c>
      <c r="B4" s="25" t="s">
        <v>709</v>
      </c>
      <c r="C4" s="25">
        <v>-1.0</v>
      </c>
      <c r="D4" s="25">
        <v>1.0</v>
      </c>
      <c r="E4" s="25" t="s">
        <v>156</v>
      </c>
    </row>
    <row r="5">
      <c r="A5" s="103" t="s">
        <v>711</v>
      </c>
      <c r="B5" s="25" t="s">
        <v>709</v>
      </c>
      <c r="C5" s="25">
        <v>-1.0</v>
      </c>
      <c r="D5" s="25">
        <v>2.0</v>
      </c>
    </row>
    <row r="6">
      <c r="A6" s="104" t="s">
        <v>604</v>
      </c>
      <c r="B6" s="25" t="s">
        <v>709</v>
      </c>
      <c r="C6" s="25">
        <v>-1.0</v>
      </c>
      <c r="D6" s="25" t="s">
        <v>710</v>
      </c>
      <c r="E6" s="25" t="s">
        <v>156</v>
      </c>
    </row>
    <row r="7">
      <c r="A7" s="25" t="s">
        <v>696</v>
      </c>
      <c r="B7" s="25" t="s">
        <v>709</v>
      </c>
      <c r="C7" s="25">
        <v>-1.0</v>
      </c>
      <c r="D7" s="25">
        <v>1.0</v>
      </c>
    </row>
    <row r="8">
      <c r="A8" s="104" t="s">
        <v>192</v>
      </c>
      <c r="B8" s="25" t="s">
        <v>712</v>
      </c>
      <c r="C8" s="25">
        <v>0.0</v>
      </c>
      <c r="D8" s="25">
        <v>2.0</v>
      </c>
      <c r="E8" s="25" t="s">
        <v>713</v>
      </c>
      <c r="F8" s="25" t="s">
        <v>364</v>
      </c>
    </row>
    <row r="9">
      <c r="A9" s="104" t="s">
        <v>585</v>
      </c>
      <c r="B9" s="25" t="s">
        <v>712</v>
      </c>
      <c r="C9" s="25">
        <v>0.0</v>
      </c>
      <c r="D9" s="25" t="s">
        <v>710</v>
      </c>
      <c r="E9" s="25" t="s">
        <v>714</v>
      </c>
      <c r="F9" s="25" t="s">
        <v>364</v>
      </c>
    </row>
    <row r="10">
      <c r="A10" s="105" t="s">
        <v>715</v>
      </c>
      <c r="B10" s="25" t="s">
        <v>712</v>
      </c>
      <c r="C10" s="25">
        <v>0.0</v>
      </c>
      <c r="D10" s="25" t="s">
        <v>710</v>
      </c>
      <c r="F10" s="25" t="s">
        <v>716</v>
      </c>
    </row>
    <row r="11">
      <c r="A11" s="25" t="s">
        <v>717</v>
      </c>
      <c r="B11" s="25" t="s">
        <v>712</v>
      </c>
      <c r="C11" s="25">
        <v>0.0</v>
      </c>
      <c r="F11" s="25" t="s">
        <v>716</v>
      </c>
      <c r="K11" s="25" t="s">
        <v>587</v>
      </c>
      <c r="L11" s="25" t="s">
        <v>718</v>
      </c>
      <c r="M11" s="25" t="s">
        <v>719</v>
      </c>
      <c r="N11" s="25" t="s">
        <v>720</v>
      </c>
      <c r="O11" s="25" t="s">
        <v>708</v>
      </c>
      <c r="P11" s="25" t="s">
        <v>719</v>
      </c>
    </row>
    <row r="12">
      <c r="A12" s="103" t="s">
        <v>24</v>
      </c>
      <c r="B12" s="25" t="s">
        <v>721</v>
      </c>
      <c r="C12" s="106">
        <f>5</f>
        <v>5</v>
      </c>
      <c r="D12" s="25">
        <v>1.0</v>
      </c>
      <c r="F12" s="25" t="s">
        <v>58</v>
      </c>
      <c r="K12" s="25" t="s">
        <v>265</v>
      </c>
      <c r="L12" s="25" t="s">
        <v>57</v>
      </c>
      <c r="M12" s="25" t="s">
        <v>722</v>
      </c>
      <c r="N12" s="25" t="s">
        <v>218</v>
      </c>
      <c r="O12" s="25" t="s">
        <v>723</v>
      </c>
      <c r="P12" s="25" t="s">
        <v>724</v>
      </c>
    </row>
    <row r="13">
      <c r="A13" s="25" t="s">
        <v>577</v>
      </c>
      <c r="B13" s="25" t="s">
        <v>725</v>
      </c>
      <c r="C13" s="25">
        <v>6.0</v>
      </c>
      <c r="D13" s="25">
        <v>1.0</v>
      </c>
      <c r="E13" s="25" t="s">
        <v>713</v>
      </c>
      <c r="F13" s="25" t="s">
        <v>364</v>
      </c>
    </row>
    <row r="14">
      <c r="A14" s="104" t="s">
        <v>582</v>
      </c>
      <c r="B14" s="25" t="s">
        <v>726</v>
      </c>
      <c r="C14" s="25">
        <v>7.0</v>
      </c>
      <c r="D14" s="25">
        <v>1.0</v>
      </c>
      <c r="E14" s="25" t="s">
        <v>64</v>
      </c>
      <c r="F14" s="25" t="s">
        <v>727</v>
      </c>
    </row>
    <row r="15">
      <c r="A15" s="103" t="s">
        <v>728</v>
      </c>
      <c r="B15" s="25" t="s">
        <v>729</v>
      </c>
      <c r="C15" s="106">
        <f t="shared" ref="C15:C17" si="1">16</f>
        <v>16</v>
      </c>
      <c r="D15" s="25">
        <v>2.0</v>
      </c>
    </row>
    <row r="16">
      <c r="A16" s="104" t="s">
        <v>13</v>
      </c>
      <c r="B16" s="25" t="s">
        <v>729</v>
      </c>
      <c r="C16" s="106">
        <f t="shared" si="1"/>
        <v>16</v>
      </c>
      <c r="D16" s="25">
        <v>2.0</v>
      </c>
      <c r="E16" s="25" t="s">
        <v>730</v>
      </c>
      <c r="F16" s="25" t="s">
        <v>731</v>
      </c>
    </row>
    <row r="17">
      <c r="A17" s="92" t="s">
        <v>277</v>
      </c>
      <c r="B17" s="25" t="s">
        <v>729</v>
      </c>
      <c r="C17" s="106">
        <f t="shared" si="1"/>
        <v>16</v>
      </c>
      <c r="D17" s="25">
        <v>2.0</v>
      </c>
      <c r="E17" s="25" t="s">
        <v>732</v>
      </c>
      <c r="F17" s="25" t="s">
        <v>733</v>
      </c>
    </row>
    <row r="19">
      <c r="A19" s="25" t="s">
        <v>734</v>
      </c>
    </row>
    <row r="20">
      <c r="A20" s="25">
        <v>1.0</v>
      </c>
      <c r="B20" s="25" t="s">
        <v>735</v>
      </c>
    </row>
    <row r="21">
      <c r="A21" s="25">
        <v>2.0</v>
      </c>
      <c r="B21" s="25" t="s">
        <v>736</v>
      </c>
    </row>
  </sheetData>
  <autoFilter ref="$A$1:$F$17">
    <sortState ref="A1:F17">
      <sortCondition ref="C1:C17"/>
      <sortCondition ref="B1:B17"/>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48.88"/>
    <col customWidth="1" min="3" max="3" width="75.63"/>
  </cols>
  <sheetData>
    <row r="1">
      <c r="A1" s="107" t="s">
        <v>570</v>
      </c>
      <c r="B1" s="107" t="s">
        <v>364</v>
      </c>
      <c r="C1" s="107" t="s">
        <v>737</v>
      </c>
    </row>
    <row r="2">
      <c r="A2" s="108" t="s">
        <v>738</v>
      </c>
      <c r="B2" s="109" t="s">
        <v>739</v>
      </c>
      <c r="C2" s="109" t="s">
        <v>740</v>
      </c>
    </row>
    <row r="3">
      <c r="A3" s="108" t="s">
        <v>582</v>
      </c>
      <c r="B3" s="109" t="s">
        <v>741</v>
      </c>
      <c r="C3" s="109" t="s">
        <v>742</v>
      </c>
    </row>
    <row r="4">
      <c r="A4" s="108" t="s">
        <v>599</v>
      </c>
      <c r="B4" s="109" t="s">
        <v>743</v>
      </c>
      <c r="C4" s="109" t="s">
        <v>744</v>
      </c>
    </row>
    <row r="5">
      <c r="A5" s="108" t="s">
        <v>604</v>
      </c>
      <c r="B5" s="109" t="s">
        <v>745</v>
      </c>
      <c r="C5" s="109" t="s">
        <v>746</v>
      </c>
    </row>
    <row r="6">
      <c r="A6" s="108" t="s">
        <v>605</v>
      </c>
      <c r="B6" s="109" t="s">
        <v>747</v>
      </c>
      <c r="C6" s="109" t="s">
        <v>748</v>
      </c>
    </row>
    <row r="7">
      <c r="A7" s="108" t="s">
        <v>609</v>
      </c>
      <c r="B7" s="109" t="s">
        <v>749</v>
      </c>
      <c r="C7" s="109" t="s">
        <v>750</v>
      </c>
    </row>
    <row r="8">
      <c r="A8" s="108" t="s">
        <v>711</v>
      </c>
      <c r="B8" s="109" t="s">
        <v>751</v>
      </c>
      <c r="C8" s="109" t="s">
        <v>752</v>
      </c>
    </row>
    <row r="9">
      <c r="A9" s="108" t="s">
        <v>707</v>
      </c>
      <c r="B9" s="109" t="s">
        <v>751</v>
      </c>
      <c r="C9" s="109" t="s">
        <v>753</v>
      </c>
    </row>
    <row r="10">
      <c r="A10" s="108" t="s">
        <v>754</v>
      </c>
      <c r="B10" s="109" t="s">
        <v>751</v>
      </c>
      <c r="C10" s="109" t="s">
        <v>755</v>
      </c>
    </row>
    <row r="11">
      <c r="A11" s="108" t="s">
        <v>756</v>
      </c>
      <c r="B11" s="109" t="s">
        <v>751</v>
      </c>
      <c r="C11" s="109" t="s">
        <v>757</v>
      </c>
    </row>
    <row r="12">
      <c r="A12" s="108" t="s">
        <v>252</v>
      </c>
      <c r="B12" s="109" t="s">
        <v>751</v>
      </c>
      <c r="C12" s="109" t="s">
        <v>758</v>
      </c>
    </row>
    <row r="13">
      <c r="A13" s="108" t="s">
        <v>759</v>
      </c>
      <c r="B13" s="109" t="s">
        <v>760</v>
      </c>
      <c r="C13" s="109" t="s">
        <v>761</v>
      </c>
    </row>
    <row r="14">
      <c r="A14" s="108" t="s">
        <v>762</v>
      </c>
      <c r="B14" s="109" t="s">
        <v>763</v>
      </c>
      <c r="C14" s="109" t="s">
        <v>764</v>
      </c>
    </row>
    <row r="15">
      <c r="A15" s="108" t="s">
        <v>765</v>
      </c>
      <c r="B15" s="109" t="s">
        <v>766</v>
      </c>
      <c r="C15" s="109" t="s">
        <v>767</v>
      </c>
    </row>
    <row r="16">
      <c r="A16" s="108" t="s">
        <v>768</v>
      </c>
      <c r="B16" s="109" t="s">
        <v>769</v>
      </c>
      <c r="C16" s="109" t="s">
        <v>770</v>
      </c>
    </row>
    <row r="17">
      <c r="A17" s="108" t="s">
        <v>192</v>
      </c>
      <c r="B17" s="109" t="s">
        <v>771</v>
      </c>
      <c r="C17" s="109" t="s">
        <v>772</v>
      </c>
    </row>
    <row r="18">
      <c r="A18" s="108" t="s">
        <v>13</v>
      </c>
      <c r="B18" s="109" t="s">
        <v>773</v>
      </c>
      <c r="C18" s="109" t="s">
        <v>774</v>
      </c>
    </row>
    <row r="19">
      <c r="A19" s="108" t="s">
        <v>583</v>
      </c>
      <c r="B19" s="109" t="s">
        <v>775</v>
      </c>
      <c r="C19" s="109" t="s">
        <v>776</v>
      </c>
    </row>
    <row r="20">
      <c r="A20" s="108" t="s">
        <v>602</v>
      </c>
      <c r="B20" s="109" t="s">
        <v>777</v>
      </c>
      <c r="C20" s="109" t="s">
        <v>778</v>
      </c>
    </row>
    <row r="21">
      <c r="A21" s="108" t="s">
        <v>597</v>
      </c>
      <c r="B21" s="109" t="s">
        <v>779</v>
      </c>
      <c r="C21" s="109" t="s">
        <v>780</v>
      </c>
    </row>
    <row r="22">
      <c r="A22" s="108" t="s">
        <v>585</v>
      </c>
      <c r="B22" s="109" t="s">
        <v>781</v>
      </c>
      <c r="C22" s="109" t="s">
        <v>782</v>
      </c>
    </row>
    <row r="23">
      <c r="A23" s="108" t="s">
        <v>586</v>
      </c>
      <c r="B23" s="109" t="s">
        <v>720</v>
      </c>
      <c r="C23" s="109" t="s">
        <v>783</v>
      </c>
    </row>
    <row r="24">
      <c r="A24" s="108" t="s">
        <v>587</v>
      </c>
      <c r="B24" s="109" t="s">
        <v>720</v>
      </c>
      <c r="C24" s="109" t="s">
        <v>784</v>
      </c>
    </row>
    <row r="25">
      <c r="A25" s="108" t="s">
        <v>94</v>
      </c>
      <c r="B25" s="109" t="s">
        <v>785</v>
      </c>
      <c r="C25" s="109" t="s">
        <v>786</v>
      </c>
    </row>
    <row r="26">
      <c r="A26" s="108" t="s">
        <v>588</v>
      </c>
      <c r="B26" s="109" t="s">
        <v>787</v>
      </c>
      <c r="C26" s="109" t="s">
        <v>788</v>
      </c>
    </row>
    <row r="27">
      <c r="A27" s="108" t="s">
        <v>589</v>
      </c>
      <c r="B27" s="109" t="s">
        <v>789</v>
      </c>
      <c r="C27" s="109" t="s">
        <v>790</v>
      </c>
    </row>
    <row r="28">
      <c r="A28" s="108" t="s">
        <v>594</v>
      </c>
      <c r="B28" s="109" t="s">
        <v>791</v>
      </c>
      <c r="C28" s="109" t="s">
        <v>792</v>
      </c>
    </row>
    <row r="29">
      <c r="A29" s="108" t="s">
        <v>595</v>
      </c>
      <c r="B29" s="109" t="s">
        <v>791</v>
      </c>
      <c r="C29" s="109" t="s">
        <v>793</v>
      </c>
    </row>
    <row r="30">
      <c r="A30" s="108" t="s">
        <v>794</v>
      </c>
      <c r="B30" s="109" t="s">
        <v>74</v>
      </c>
      <c r="C30" s="109" t="s">
        <v>795</v>
      </c>
    </row>
    <row r="31">
      <c r="A31" s="108" t="s">
        <v>591</v>
      </c>
      <c r="B31" s="109" t="s">
        <v>268</v>
      </c>
      <c r="C31" s="109" t="s">
        <v>796</v>
      </c>
    </row>
    <row r="32">
      <c r="A32" s="108" t="s">
        <v>593</v>
      </c>
      <c r="B32" s="109" t="s">
        <v>268</v>
      </c>
      <c r="C32" s="109" t="s">
        <v>797</v>
      </c>
    </row>
    <row r="33">
      <c r="A33" s="108" t="s">
        <v>24</v>
      </c>
      <c r="B33" s="109" t="s">
        <v>798</v>
      </c>
      <c r="C33" s="109" t="s">
        <v>799</v>
      </c>
    </row>
    <row r="34">
      <c r="A34" s="108" t="s">
        <v>578</v>
      </c>
      <c r="B34" s="109" t="s">
        <v>270</v>
      </c>
      <c r="C34" s="109" t="s">
        <v>800</v>
      </c>
    </row>
    <row r="35">
      <c r="A35" s="108" t="s">
        <v>579</v>
      </c>
      <c r="B35" s="109" t="s">
        <v>801</v>
      </c>
      <c r="C35" s="109" t="s">
        <v>802</v>
      </c>
    </row>
    <row r="36">
      <c r="A36" s="108" t="s">
        <v>580</v>
      </c>
      <c r="B36" s="109" t="s">
        <v>803</v>
      </c>
      <c r="C36" s="109" t="s">
        <v>804</v>
      </c>
    </row>
    <row r="37">
      <c r="A37" s="108" t="s">
        <v>213</v>
      </c>
      <c r="B37" s="109" t="s">
        <v>805</v>
      </c>
      <c r="C37" s="109" t="s">
        <v>806</v>
      </c>
    </row>
    <row r="38">
      <c r="A38" s="108" t="s">
        <v>265</v>
      </c>
      <c r="B38" s="109" t="s">
        <v>807</v>
      </c>
      <c r="C38" s="109" t="s">
        <v>808</v>
      </c>
    </row>
    <row r="39">
      <c r="A39" s="108" t="s">
        <v>606</v>
      </c>
      <c r="B39" s="109" t="s">
        <v>156</v>
      </c>
      <c r="C39" s="109" t="s">
        <v>809</v>
      </c>
    </row>
    <row r="40">
      <c r="A40" s="108" t="s">
        <v>607</v>
      </c>
      <c r="B40" s="109" t="s">
        <v>156</v>
      </c>
      <c r="C40" s="109" t="s">
        <v>810</v>
      </c>
    </row>
    <row r="41">
      <c r="A41" s="108" t="s">
        <v>603</v>
      </c>
      <c r="B41" s="109" t="s">
        <v>811</v>
      </c>
      <c r="C41" s="109" t="s">
        <v>812</v>
      </c>
    </row>
    <row r="42">
      <c r="A42" s="108" t="s">
        <v>813</v>
      </c>
      <c r="B42" s="109" t="s">
        <v>241</v>
      </c>
      <c r="C42" s="109" t="s">
        <v>814</v>
      </c>
    </row>
    <row r="43">
      <c r="A43" s="108" t="s">
        <v>815</v>
      </c>
      <c r="B43" s="109" t="s">
        <v>816</v>
      </c>
      <c r="C43" s="109" t="s">
        <v>817</v>
      </c>
    </row>
  </sheetData>
  <autoFilter ref="$A$1:$C$43">
    <sortState ref="A1:C43">
      <sortCondition ref="B1:B43"/>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40.5"/>
    <col customWidth="1" min="3" max="3" width="57.0"/>
    <col customWidth="1" min="4" max="4" width="48.5"/>
  </cols>
  <sheetData>
    <row r="1">
      <c r="A1" s="102" t="s">
        <v>818</v>
      </c>
    </row>
    <row r="2">
      <c r="A2" s="25" t="s">
        <v>94</v>
      </c>
    </row>
    <row r="3">
      <c r="A3" s="25" t="s">
        <v>588</v>
      </c>
    </row>
    <row r="4">
      <c r="A4" s="25" t="s">
        <v>589</v>
      </c>
    </row>
    <row r="6">
      <c r="A6" s="102" t="s">
        <v>819</v>
      </c>
      <c r="B6" s="102"/>
    </row>
    <row r="7">
      <c r="A7" s="25" t="s">
        <v>820</v>
      </c>
    </row>
    <row r="9">
      <c r="A9" s="102" t="s">
        <v>6</v>
      </c>
    </row>
    <row r="10">
      <c r="A10" s="25" t="s">
        <v>821</v>
      </c>
    </row>
    <row r="13">
      <c r="A13" s="110" t="s">
        <v>822</v>
      </c>
      <c r="B13" s="110" t="s">
        <v>823</v>
      </c>
      <c r="C13" s="110" t="s">
        <v>8</v>
      </c>
      <c r="D13" s="110" t="s">
        <v>824</v>
      </c>
    </row>
    <row r="14">
      <c r="A14" s="111">
        <v>46002.0</v>
      </c>
      <c r="B14" s="112" t="s">
        <v>825</v>
      </c>
      <c r="C14" s="112" t="s">
        <v>826</v>
      </c>
      <c r="D14" s="113" t="s">
        <v>827</v>
      </c>
    </row>
    <row r="15" ht="60.75" customHeight="1">
      <c r="A15" s="114">
        <v>45671.0</v>
      </c>
      <c r="B15" s="25" t="s">
        <v>589</v>
      </c>
      <c r="C15" s="31" t="s">
        <v>828</v>
      </c>
    </row>
  </sheetData>
  <hyperlinks>
    <hyperlink r:id="rId1" ref="D14"/>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40.5"/>
    <col customWidth="1" min="3" max="3" width="93.88"/>
    <col customWidth="1" min="4" max="4" width="48.5"/>
  </cols>
  <sheetData>
    <row r="1">
      <c r="A1" s="102" t="s">
        <v>818</v>
      </c>
    </row>
    <row r="2">
      <c r="A2" s="25" t="s">
        <v>277</v>
      </c>
      <c r="B2" s="25" t="s">
        <v>829</v>
      </c>
    </row>
    <row r="3">
      <c r="A3" s="25" t="s">
        <v>611</v>
      </c>
      <c r="B3" s="25" t="s">
        <v>830</v>
      </c>
    </row>
    <row r="4">
      <c r="A4" s="25" t="s">
        <v>13</v>
      </c>
    </row>
    <row r="5">
      <c r="A5" s="25" t="s">
        <v>831</v>
      </c>
      <c r="B5" s="25" t="s">
        <v>832</v>
      </c>
    </row>
    <row r="7">
      <c r="A7" s="102" t="s">
        <v>819</v>
      </c>
      <c r="B7" s="102"/>
    </row>
    <row r="8">
      <c r="A8" s="25" t="s">
        <v>833</v>
      </c>
      <c r="B8" s="25" t="s">
        <v>834</v>
      </c>
    </row>
    <row r="10">
      <c r="A10" s="102" t="s">
        <v>6</v>
      </c>
    </row>
    <row r="11">
      <c r="A11" s="25" t="s">
        <v>835</v>
      </c>
    </row>
    <row r="14">
      <c r="A14" s="110" t="s">
        <v>822</v>
      </c>
      <c r="B14" s="110" t="s">
        <v>823</v>
      </c>
      <c r="C14" s="110" t="s">
        <v>8</v>
      </c>
      <c r="D14" s="110" t="s">
        <v>824</v>
      </c>
    </row>
    <row r="15" ht="110.25" customHeight="1">
      <c r="A15" s="111">
        <v>46006.0</v>
      </c>
      <c r="B15" s="112"/>
      <c r="C15" s="112" t="s">
        <v>836</v>
      </c>
      <c r="D15" s="115" t="s">
        <v>837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40.5"/>
    <col customWidth="1" min="3" max="3" width="93.88"/>
    <col customWidth="1" min="4" max="4" width="48.5"/>
  </cols>
  <sheetData>
    <row r="1">
      <c r="A1" s="102" t="s">
        <v>818</v>
      </c>
    </row>
    <row r="2">
      <c r="A2" s="25" t="s">
        <v>192</v>
      </c>
    </row>
    <row r="3">
      <c r="A3" s="25" t="s">
        <v>578</v>
      </c>
    </row>
    <row r="4">
      <c r="A4" s="25" t="s">
        <v>13</v>
      </c>
    </row>
    <row r="5">
      <c r="A5" s="25" t="s">
        <v>213</v>
      </c>
    </row>
    <row r="6">
      <c r="A6" s="25" t="s">
        <v>696</v>
      </c>
    </row>
    <row r="8">
      <c r="A8" s="102" t="s">
        <v>819</v>
      </c>
      <c r="B8" s="102"/>
    </row>
    <row r="9">
      <c r="A9" s="25" t="s">
        <v>210</v>
      </c>
    </row>
    <row r="10">
      <c r="A10" s="25" t="s">
        <v>838</v>
      </c>
    </row>
    <row r="11">
      <c r="A11" s="102" t="s">
        <v>6</v>
      </c>
    </row>
    <row r="15">
      <c r="A15" s="110" t="s">
        <v>822</v>
      </c>
      <c r="B15" s="110" t="s">
        <v>823</v>
      </c>
      <c r="C15" s="110" t="s">
        <v>8</v>
      </c>
      <c r="D15" s="110" t="s">
        <v>824</v>
      </c>
    </row>
    <row r="16" ht="58.5" customHeight="1">
      <c r="A16" s="111">
        <v>46008.0</v>
      </c>
      <c r="B16" s="112" t="s">
        <v>839</v>
      </c>
      <c r="C16" s="112" t="s">
        <v>840</v>
      </c>
      <c r="D16" s="115"/>
    </row>
    <row r="17" ht="110.25" customHeight="1">
      <c r="A17" s="111">
        <v>46028.0</v>
      </c>
      <c r="B17" s="112"/>
      <c r="C17" s="112" t="s">
        <v>841</v>
      </c>
      <c r="D17" s="11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40.5"/>
    <col customWidth="1" min="3" max="3" width="57.0"/>
    <col customWidth="1" min="4" max="4" width="48.5"/>
  </cols>
  <sheetData>
    <row r="1">
      <c r="A1" s="102" t="s">
        <v>818</v>
      </c>
    </row>
    <row r="5">
      <c r="A5" s="102" t="s">
        <v>819</v>
      </c>
      <c r="B5" s="102"/>
    </row>
    <row r="8">
      <c r="A8" s="102" t="s">
        <v>6</v>
      </c>
    </row>
    <row r="12">
      <c r="A12" s="110" t="s">
        <v>822</v>
      </c>
      <c r="B12" s="110" t="s">
        <v>823</v>
      </c>
      <c r="C12" s="110" t="s">
        <v>8</v>
      </c>
      <c r="D12" s="110" t="s">
        <v>824</v>
      </c>
    </row>
    <row r="13">
      <c r="A13" s="111"/>
      <c r="B13" s="112"/>
      <c r="C13" s="112"/>
      <c r="D13" s="11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